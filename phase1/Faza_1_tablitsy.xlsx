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ndr\Downloads\"/>
    </mc:Choice>
  </mc:AlternateContent>
  <bookViews>
    <workbookView xWindow="0" yWindow="0" windowWidth="28800" windowHeight="11745" tabRatio="500" activeTab="6"/>
  </bookViews>
  <sheets>
    <sheet name="Команда" sheetId="1" r:id="rId1"/>
    <sheet name="Оценки_Критерии" sheetId="3" r:id="rId2"/>
    <sheet name="Критерии_agg" sheetId="5" r:id="rId3"/>
    <sheet name="Оценки_Альтернативы" sheetId="4" r:id="rId4"/>
    <sheet name="TOPSIS" sheetId="6" r:id="rId5"/>
    <sheet name="МАИ" sheetId="7" r:id="rId6"/>
    <sheet name="Итоги" sheetId="2" r:id="rId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0" i="7" l="1"/>
  <c r="D160" i="7"/>
  <c r="C160" i="7"/>
  <c r="B160" i="7"/>
  <c r="E159" i="7"/>
  <c r="D159" i="7"/>
  <c r="C159" i="7"/>
  <c r="B159" i="7"/>
  <c r="E158" i="7"/>
  <c r="D158" i="7"/>
  <c r="C158" i="7"/>
  <c r="B158" i="7"/>
  <c r="E157" i="7"/>
  <c r="D157" i="7"/>
  <c r="C157" i="7"/>
  <c r="B157" i="7"/>
  <c r="E154" i="7"/>
  <c r="D154" i="7"/>
  <c r="C154" i="7"/>
  <c r="B154" i="7"/>
  <c r="E153" i="7"/>
  <c r="D153" i="7"/>
  <c r="C153" i="7"/>
  <c r="B153" i="7"/>
  <c r="E152" i="7"/>
  <c r="D152" i="7"/>
  <c r="C152" i="7"/>
  <c r="B152" i="7"/>
  <c r="E151" i="7"/>
  <c r="D151" i="7"/>
  <c r="C151" i="7"/>
  <c r="B151" i="7"/>
  <c r="E148" i="7"/>
  <c r="D148" i="7"/>
  <c r="C148" i="7"/>
  <c r="B148" i="7"/>
  <c r="E147" i="7"/>
  <c r="D147" i="7"/>
  <c r="C147" i="7"/>
  <c r="B147" i="7"/>
  <c r="E146" i="7"/>
  <c r="D146" i="7"/>
  <c r="C146" i="7"/>
  <c r="B146" i="7"/>
  <c r="E145" i="7"/>
  <c r="D145" i="7"/>
  <c r="C145" i="7"/>
  <c r="B145" i="7"/>
  <c r="E142" i="7"/>
  <c r="D142" i="7"/>
  <c r="C142" i="7"/>
  <c r="B142" i="7"/>
  <c r="E141" i="7"/>
  <c r="D141" i="7"/>
  <c r="C141" i="7"/>
  <c r="B141" i="7"/>
  <c r="E140" i="7"/>
  <c r="E164" i="7" s="1"/>
  <c r="D140" i="7"/>
  <c r="D164" i="7" s="1"/>
  <c r="C140" i="7"/>
  <c r="C164" i="7" s="1"/>
  <c r="B140" i="7"/>
  <c r="B164" i="7" s="1"/>
  <c r="F164" i="7" s="1"/>
  <c r="E139" i="7"/>
  <c r="D139" i="7"/>
  <c r="C139" i="7"/>
  <c r="B139" i="7"/>
  <c r="E126" i="7"/>
  <c r="D126" i="7"/>
  <c r="C126" i="7"/>
  <c r="B126" i="7"/>
  <c r="E125" i="7"/>
  <c r="D125" i="7"/>
  <c r="C125" i="7"/>
  <c r="B125" i="7"/>
  <c r="E124" i="7"/>
  <c r="D124" i="7"/>
  <c r="C124" i="7"/>
  <c r="B124" i="7"/>
  <c r="E123" i="7"/>
  <c r="D123" i="7"/>
  <c r="C123" i="7"/>
  <c r="B123" i="7"/>
  <c r="E120" i="7"/>
  <c r="D120" i="7"/>
  <c r="C120" i="7"/>
  <c r="B120" i="7"/>
  <c r="E119" i="7"/>
  <c r="D119" i="7"/>
  <c r="C119" i="7"/>
  <c r="B119" i="7"/>
  <c r="E118" i="7"/>
  <c r="D118" i="7"/>
  <c r="C118" i="7"/>
  <c r="B118" i="7"/>
  <c r="E117" i="7"/>
  <c r="D117" i="7"/>
  <c r="C117" i="7"/>
  <c r="B117" i="7"/>
  <c r="E114" i="7"/>
  <c r="D114" i="7"/>
  <c r="C114" i="7"/>
  <c r="B114" i="7"/>
  <c r="E113" i="7"/>
  <c r="D113" i="7"/>
  <c r="C113" i="7"/>
  <c r="B113" i="7"/>
  <c r="E112" i="7"/>
  <c r="D112" i="7"/>
  <c r="C112" i="7"/>
  <c r="B112" i="7"/>
  <c r="E111" i="7"/>
  <c r="D111" i="7"/>
  <c r="C111" i="7"/>
  <c r="B111" i="7"/>
  <c r="E108" i="7"/>
  <c r="D108" i="7"/>
  <c r="C108" i="7"/>
  <c r="B108" i="7"/>
  <c r="B132" i="7" s="1"/>
  <c r="E107" i="7"/>
  <c r="E131" i="7" s="1"/>
  <c r="D107" i="7"/>
  <c r="D131" i="7" s="1"/>
  <c r="C107" i="7"/>
  <c r="C131" i="7" s="1"/>
  <c r="B107" i="7"/>
  <c r="E106" i="7"/>
  <c r="D106" i="7"/>
  <c r="C106" i="7"/>
  <c r="C130" i="7" s="1"/>
  <c r="B106" i="7"/>
  <c r="E105" i="7"/>
  <c r="D105" i="7"/>
  <c r="C105" i="7"/>
  <c r="B105" i="7"/>
  <c r="B129" i="7" s="1"/>
  <c r="E92" i="7"/>
  <c r="D92" i="7"/>
  <c r="C92" i="7"/>
  <c r="B92" i="7"/>
  <c r="E91" i="7"/>
  <c r="D91" i="7"/>
  <c r="C91" i="7"/>
  <c r="B91" i="7"/>
  <c r="E90" i="7"/>
  <c r="D90" i="7"/>
  <c r="C90" i="7"/>
  <c r="B90" i="7"/>
  <c r="E89" i="7"/>
  <c r="D89" i="7"/>
  <c r="C89" i="7"/>
  <c r="B89" i="7"/>
  <c r="E86" i="7"/>
  <c r="D86" i="7"/>
  <c r="C86" i="7"/>
  <c r="B86" i="7"/>
  <c r="E85" i="7"/>
  <c r="D85" i="7"/>
  <c r="C85" i="7"/>
  <c r="B85" i="7"/>
  <c r="E84" i="7"/>
  <c r="D84" i="7"/>
  <c r="C84" i="7"/>
  <c r="B84" i="7"/>
  <c r="E83" i="7"/>
  <c r="D83" i="7"/>
  <c r="C83" i="7"/>
  <c r="B83" i="7"/>
  <c r="E80" i="7"/>
  <c r="D80" i="7"/>
  <c r="C80" i="7"/>
  <c r="B80" i="7"/>
  <c r="E79" i="7"/>
  <c r="E97" i="7" s="1"/>
  <c r="D79" i="7"/>
  <c r="C79" i="7"/>
  <c r="B79" i="7"/>
  <c r="E78" i="7"/>
  <c r="D78" i="7"/>
  <c r="C78" i="7"/>
  <c r="B78" i="7"/>
  <c r="E77" i="7"/>
  <c r="D77" i="7"/>
  <c r="C77" i="7"/>
  <c r="B77" i="7"/>
  <c r="E74" i="7"/>
  <c r="E98" i="7" s="1"/>
  <c r="D74" i="7"/>
  <c r="C74" i="7"/>
  <c r="B74" i="7"/>
  <c r="E73" i="7"/>
  <c r="D73" i="7"/>
  <c r="C73" i="7"/>
  <c r="B73" i="7"/>
  <c r="E72" i="7"/>
  <c r="D72" i="7"/>
  <c r="D96" i="7" s="1"/>
  <c r="C72" i="7"/>
  <c r="C96" i="7" s="1"/>
  <c r="B72" i="7"/>
  <c r="B96" i="7" s="1"/>
  <c r="E71" i="7"/>
  <c r="E95" i="7" s="1"/>
  <c r="D71" i="7"/>
  <c r="C71" i="7"/>
  <c r="B71" i="7"/>
  <c r="E58" i="7"/>
  <c r="D58" i="7"/>
  <c r="C58" i="7"/>
  <c r="B58" i="7"/>
  <c r="E57" i="7"/>
  <c r="D57" i="7"/>
  <c r="C57" i="7"/>
  <c r="B57" i="7"/>
  <c r="E56" i="7"/>
  <c r="D56" i="7"/>
  <c r="C56" i="7"/>
  <c r="B56" i="7"/>
  <c r="E55" i="7"/>
  <c r="D55" i="7"/>
  <c r="C55" i="7"/>
  <c r="B55" i="7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0" i="7"/>
  <c r="D40" i="7"/>
  <c r="C40" i="7"/>
  <c r="B40" i="7"/>
  <c r="E39" i="7"/>
  <c r="D39" i="7"/>
  <c r="D63" i="7" s="1"/>
  <c r="C39" i="7"/>
  <c r="C63" i="7" s="1"/>
  <c r="B39" i="7"/>
  <c r="B63" i="7" s="1"/>
  <c r="E38" i="7"/>
  <c r="E62" i="7" s="1"/>
  <c r="D38" i="7"/>
  <c r="C38" i="7"/>
  <c r="B38" i="7"/>
  <c r="E37" i="7"/>
  <c r="D37" i="7"/>
  <c r="C37" i="7"/>
  <c r="B37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6" i="7"/>
  <c r="D6" i="7"/>
  <c r="D30" i="7" s="1"/>
  <c r="C6" i="7"/>
  <c r="C30" i="7" s="1"/>
  <c r="B6" i="7"/>
  <c r="E5" i="7"/>
  <c r="D5" i="7"/>
  <c r="C5" i="7"/>
  <c r="B5" i="7"/>
  <c r="E4" i="7"/>
  <c r="D4" i="7"/>
  <c r="C4" i="7"/>
  <c r="B4" i="7"/>
  <c r="E3" i="7"/>
  <c r="D3" i="7"/>
  <c r="D27" i="7" s="1"/>
  <c r="C3" i="7"/>
  <c r="C27" i="7" s="1"/>
  <c r="B3" i="7"/>
  <c r="M6" i="6"/>
  <c r="M13" i="6" s="1"/>
  <c r="L6" i="6"/>
  <c r="L13" i="6" s="1"/>
  <c r="K6" i="6"/>
  <c r="K13" i="6" s="1"/>
  <c r="J6" i="6"/>
  <c r="J13" i="6" s="1"/>
  <c r="I6" i="6"/>
  <c r="I13" i="6" s="1"/>
  <c r="H6" i="6"/>
  <c r="H13" i="6" s="1"/>
  <c r="G6" i="6"/>
  <c r="G13" i="6" s="1"/>
  <c r="F6" i="6"/>
  <c r="F13" i="6" s="1"/>
  <c r="E6" i="6"/>
  <c r="E13" i="6" s="1"/>
  <c r="D6" i="6"/>
  <c r="D13" i="6" s="1"/>
  <c r="C6" i="6"/>
  <c r="C13" i="6" s="1"/>
  <c r="B6" i="6"/>
  <c r="B13" i="6" s="1"/>
  <c r="M5" i="6"/>
  <c r="M12" i="6" s="1"/>
  <c r="L5" i="6"/>
  <c r="L12" i="6" s="1"/>
  <c r="K5" i="6"/>
  <c r="K12" i="6" s="1"/>
  <c r="J5" i="6"/>
  <c r="J12" i="6" s="1"/>
  <c r="I5" i="6"/>
  <c r="I12" i="6" s="1"/>
  <c r="H5" i="6"/>
  <c r="H12" i="6" s="1"/>
  <c r="G5" i="6"/>
  <c r="G12" i="6" s="1"/>
  <c r="F5" i="6"/>
  <c r="F12" i="6" s="1"/>
  <c r="E5" i="6"/>
  <c r="E12" i="6" s="1"/>
  <c r="D5" i="6"/>
  <c r="D12" i="6" s="1"/>
  <c r="C5" i="6"/>
  <c r="C12" i="6" s="1"/>
  <c r="B5" i="6"/>
  <c r="B12" i="6" s="1"/>
  <c r="M4" i="6"/>
  <c r="M11" i="6" s="1"/>
  <c r="L4" i="6"/>
  <c r="L11" i="6" s="1"/>
  <c r="K4" i="6"/>
  <c r="K11" i="6" s="1"/>
  <c r="J4" i="6"/>
  <c r="J11" i="6" s="1"/>
  <c r="I4" i="6"/>
  <c r="I11" i="6" s="1"/>
  <c r="H4" i="6"/>
  <c r="H11" i="6" s="1"/>
  <c r="G4" i="6"/>
  <c r="G11" i="6" s="1"/>
  <c r="F4" i="6"/>
  <c r="F11" i="6" s="1"/>
  <c r="E4" i="6"/>
  <c r="E11" i="6" s="1"/>
  <c r="D4" i="6"/>
  <c r="D11" i="6" s="1"/>
  <c r="C4" i="6"/>
  <c r="C11" i="6" s="1"/>
  <c r="B4" i="6"/>
  <c r="B11" i="6" s="1"/>
  <c r="M3" i="6"/>
  <c r="M10" i="6" s="1"/>
  <c r="L3" i="6"/>
  <c r="L10" i="6" s="1"/>
  <c r="K3" i="6"/>
  <c r="K10" i="6" s="1"/>
  <c r="J3" i="6"/>
  <c r="J10" i="6" s="1"/>
  <c r="I3" i="6"/>
  <c r="I10" i="6" s="1"/>
  <c r="H3" i="6"/>
  <c r="H10" i="6" s="1"/>
  <c r="G3" i="6"/>
  <c r="G10" i="6" s="1"/>
  <c r="F3" i="6"/>
  <c r="F10" i="6" s="1"/>
  <c r="E3" i="6"/>
  <c r="E10" i="6" s="1"/>
  <c r="D3" i="6"/>
  <c r="D10" i="6" s="1"/>
  <c r="C3" i="6"/>
  <c r="C10" i="6" s="1"/>
  <c r="B3" i="6"/>
  <c r="B10" i="6" s="1"/>
  <c r="D5" i="5"/>
  <c r="I5" i="5" s="1"/>
  <c r="M25" i="6" s="1"/>
  <c r="C5" i="5"/>
  <c r="H5" i="5" s="1"/>
  <c r="L25" i="6" s="1"/>
  <c r="B5" i="5"/>
  <c r="G5" i="5" s="1"/>
  <c r="K25" i="6" s="1"/>
  <c r="D4" i="5"/>
  <c r="I4" i="5" s="1"/>
  <c r="J25" i="6" s="1"/>
  <c r="C4" i="5"/>
  <c r="H4" i="5" s="1"/>
  <c r="I25" i="6" s="1"/>
  <c r="B4" i="5"/>
  <c r="E4" i="5" s="1"/>
  <c r="D3" i="5"/>
  <c r="I3" i="5" s="1"/>
  <c r="G25" i="6" s="1"/>
  <c r="C3" i="5"/>
  <c r="E3" i="5" s="1"/>
  <c r="B3" i="5"/>
  <c r="G3" i="5" s="1"/>
  <c r="E25" i="6" s="1"/>
  <c r="D2" i="5"/>
  <c r="I2" i="5" s="1"/>
  <c r="D25" i="6" s="1"/>
  <c r="C2" i="5"/>
  <c r="H2" i="5" s="1"/>
  <c r="C25" i="6" s="1"/>
  <c r="B2" i="5"/>
  <c r="G2" i="5" s="1"/>
  <c r="B25" i="6" s="1"/>
  <c r="B22" i="4"/>
  <c r="B15" i="4"/>
  <c r="B8" i="4"/>
  <c r="B1" i="4"/>
  <c r="B61" i="7" l="1"/>
  <c r="B64" i="7"/>
  <c r="B97" i="7"/>
  <c r="D129" i="7"/>
  <c r="D132" i="7"/>
  <c r="C165" i="7"/>
  <c r="F129" i="7"/>
  <c r="C28" i="7"/>
  <c r="C61" i="7"/>
  <c r="C64" i="7"/>
  <c r="C97" i="7"/>
  <c r="E129" i="7"/>
  <c r="E132" i="7"/>
  <c r="D165" i="7"/>
  <c r="E30" i="7"/>
  <c r="C129" i="7"/>
  <c r="D28" i="7"/>
  <c r="D61" i="7"/>
  <c r="D64" i="7"/>
  <c r="D97" i="7"/>
  <c r="B130" i="7"/>
  <c r="F130" i="7" s="1"/>
  <c r="E165" i="7"/>
  <c r="E27" i="7"/>
  <c r="E96" i="7"/>
  <c r="F96" i="7" s="1"/>
  <c r="B165" i="7"/>
  <c r="E61" i="7"/>
  <c r="E64" i="7"/>
  <c r="B163" i="7"/>
  <c r="B166" i="7"/>
  <c r="E63" i="7"/>
  <c r="F63" i="7" s="1"/>
  <c r="B28" i="7"/>
  <c r="B62" i="7"/>
  <c r="F62" i="7" s="1"/>
  <c r="B95" i="7"/>
  <c r="F95" i="7" s="1"/>
  <c r="B98" i="7"/>
  <c r="D130" i="7"/>
  <c r="C163" i="7"/>
  <c r="C166" i="7"/>
  <c r="C62" i="7"/>
  <c r="C95" i="7"/>
  <c r="C98" i="7"/>
  <c r="F98" i="7" s="1"/>
  <c r="E130" i="7"/>
  <c r="D163" i="7"/>
  <c r="D166" i="7"/>
  <c r="C132" i="7"/>
  <c r="F132" i="7" s="1"/>
  <c r="D62" i="7"/>
  <c r="D95" i="7"/>
  <c r="D98" i="7"/>
  <c r="B131" i="7"/>
  <c r="E163" i="7"/>
  <c r="E166" i="7"/>
  <c r="C17" i="6"/>
  <c r="D18" i="6"/>
  <c r="D20" i="6"/>
  <c r="C18" i="6"/>
  <c r="E18" i="6"/>
  <c r="C20" i="6"/>
  <c r="D17" i="6"/>
  <c r="E19" i="6"/>
  <c r="C19" i="6"/>
  <c r="D19" i="6"/>
  <c r="E20" i="6"/>
  <c r="E28" i="7"/>
  <c r="J17" i="6"/>
  <c r="J18" i="6"/>
  <c r="J19" i="6"/>
  <c r="J20" i="6"/>
  <c r="B29" i="7"/>
  <c r="F29" i="7" s="1"/>
  <c r="H3" i="5"/>
  <c r="F25" i="6" s="1"/>
  <c r="K19" i="6"/>
  <c r="C29" i="7"/>
  <c r="D29" i="7"/>
  <c r="M17" i="6"/>
  <c r="E29" i="7"/>
  <c r="B27" i="7"/>
  <c r="F27" i="7" s="1"/>
  <c r="B30" i="7"/>
  <c r="F30" i="7" s="1"/>
  <c r="E17" i="6"/>
  <c r="E23" i="6"/>
  <c r="G19" i="6"/>
  <c r="H23" i="6"/>
  <c r="G17" i="6"/>
  <c r="I20" i="6"/>
  <c r="H18" i="6"/>
  <c r="G18" i="6"/>
  <c r="I17" i="6"/>
  <c r="I18" i="6"/>
  <c r="K18" i="6"/>
  <c r="L17" i="6"/>
  <c r="L18" i="6"/>
  <c r="L19" i="6"/>
  <c r="E32" i="6" s="1"/>
  <c r="L20" i="6"/>
  <c r="I19" i="6"/>
  <c r="M19" i="6"/>
  <c r="M20" i="6"/>
  <c r="G20" i="6"/>
  <c r="K17" i="6"/>
  <c r="K23" i="6"/>
  <c r="K20" i="6"/>
  <c r="M18" i="6"/>
  <c r="B23" i="6"/>
  <c r="B17" i="6"/>
  <c r="B18" i="6"/>
  <c r="B19" i="6"/>
  <c r="B20" i="6"/>
  <c r="F131" i="7"/>
  <c r="G4" i="5"/>
  <c r="H25" i="6" s="1"/>
  <c r="E2" i="5"/>
  <c r="F4" i="5" s="1"/>
  <c r="E5" i="5"/>
  <c r="F163" i="7" l="1"/>
  <c r="F97" i="7"/>
  <c r="G96" i="7" s="1"/>
  <c r="C175" i="7" s="1"/>
  <c r="F64" i="7"/>
  <c r="G131" i="7"/>
  <c r="D176" i="7" s="1"/>
  <c r="F166" i="7"/>
  <c r="F28" i="7"/>
  <c r="G29" i="7" s="1"/>
  <c r="D173" i="7" s="1"/>
  <c r="F165" i="7"/>
  <c r="G165" i="7" s="1"/>
  <c r="E176" i="7" s="1"/>
  <c r="G30" i="7"/>
  <c r="E173" i="7" s="1"/>
  <c r="F61" i="7"/>
  <c r="G61" i="7" s="1"/>
  <c r="B174" i="7" s="1"/>
  <c r="F2" i="5"/>
  <c r="H20" i="6"/>
  <c r="F3" i="5"/>
  <c r="H19" i="6"/>
  <c r="F17" i="6"/>
  <c r="C30" i="6" s="1"/>
  <c r="F19" i="6"/>
  <c r="H17" i="6"/>
  <c r="D30" i="6" s="1"/>
  <c r="F20" i="6"/>
  <c r="C33" i="6" s="1"/>
  <c r="C32" i="6"/>
  <c r="F18" i="6"/>
  <c r="C31" i="6" s="1"/>
  <c r="I26" i="6"/>
  <c r="H26" i="6"/>
  <c r="J26" i="6"/>
  <c r="B31" i="6"/>
  <c r="G130" i="7"/>
  <c r="D175" i="7" s="1"/>
  <c r="D26" i="6"/>
  <c r="C26" i="6"/>
  <c r="B26" i="6"/>
  <c r="G95" i="7"/>
  <c r="D31" i="6"/>
  <c r="B32" i="6"/>
  <c r="G132" i="7"/>
  <c r="D177" i="7" s="1"/>
  <c r="E31" i="6"/>
  <c r="B33" i="6"/>
  <c r="F5" i="5"/>
  <c r="E33" i="6"/>
  <c r="G129" i="7"/>
  <c r="D32" i="6"/>
  <c r="G26" i="6"/>
  <c r="F26" i="6"/>
  <c r="E26" i="6"/>
  <c r="B30" i="6"/>
  <c r="M26" i="6"/>
  <c r="L26" i="6"/>
  <c r="K26" i="6"/>
  <c r="J32" i="6" s="1"/>
  <c r="G97" i="7"/>
  <c r="C176" i="7" s="1"/>
  <c r="D33" i="6"/>
  <c r="E30" i="6"/>
  <c r="G64" i="7" l="1"/>
  <c r="B177" i="7" s="1"/>
  <c r="G27" i="7"/>
  <c r="G28" i="7"/>
  <c r="C173" i="7" s="1"/>
  <c r="G164" i="7"/>
  <c r="E175" i="7" s="1"/>
  <c r="G163" i="7"/>
  <c r="G62" i="7"/>
  <c r="B175" i="7" s="1"/>
  <c r="G166" i="7"/>
  <c r="E177" i="7" s="1"/>
  <c r="G98" i="7"/>
  <c r="C177" i="7" s="1"/>
  <c r="G63" i="7"/>
  <c r="B176" i="7" s="1"/>
  <c r="G32" i="6"/>
  <c r="H30" i="6"/>
  <c r="I33" i="6"/>
  <c r="G31" i="6"/>
  <c r="F31" i="6"/>
  <c r="B3" i="2" s="1"/>
  <c r="I32" i="6"/>
  <c r="I30" i="6"/>
  <c r="I31" i="6"/>
  <c r="G33" i="6"/>
  <c r="F32" i="6"/>
  <c r="B4" i="2" s="1"/>
  <c r="C174" i="7"/>
  <c r="B99" i="7"/>
  <c r="B100" i="7" s="1"/>
  <c r="B101" i="7" s="1"/>
  <c r="C101" i="7" s="1"/>
  <c r="J33" i="6"/>
  <c r="F30" i="6"/>
  <c r="B2" i="2" s="1"/>
  <c r="H32" i="6"/>
  <c r="H33" i="6"/>
  <c r="H31" i="6"/>
  <c r="B133" i="7"/>
  <c r="B134" i="7" s="1"/>
  <c r="B135" i="7" s="1"/>
  <c r="C135" i="7" s="1"/>
  <c r="D174" i="7"/>
  <c r="G30" i="6"/>
  <c r="J31" i="6"/>
  <c r="F33" i="6"/>
  <c r="B5" i="2" s="1"/>
  <c r="J30" i="6"/>
  <c r="B173" i="7"/>
  <c r="B31" i="7"/>
  <c r="B32" i="7" s="1"/>
  <c r="B33" i="7" s="1"/>
  <c r="C33" i="7" s="1"/>
  <c r="B65" i="7" l="1"/>
  <c r="B66" i="7" s="1"/>
  <c r="B67" i="7" s="1"/>
  <c r="C67" i="7" s="1"/>
  <c r="B167" i="7"/>
  <c r="B168" i="7" s="1"/>
  <c r="B169" i="7" s="1"/>
  <c r="C169" i="7" s="1"/>
  <c r="E174" i="7"/>
  <c r="K32" i="6"/>
  <c r="K31" i="6"/>
  <c r="K33" i="6"/>
  <c r="L31" i="6"/>
  <c r="C3" i="2"/>
  <c r="C5" i="2"/>
  <c r="L33" i="6"/>
  <c r="C4" i="2"/>
  <c r="L32" i="6"/>
  <c r="F177" i="7"/>
  <c r="F175" i="7"/>
  <c r="F176" i="7"/>
  <c r="F174" i="7"/>
  <c r="K30" i="6"/>
  <c r="C2" i="2" l="1"/>
  <c r="L30" i="6"/>
  <c r="G174" i="7"/>
  <c r="G2" i="2" s="1"/>
  <c r="B8" i="2" s="1"/>
  <c r="F2" i="2"/>
  <c r="G176" i="7"/>
  <c r="G4" i="2" s="1"/>
  <c r="F4" i="2"/>
  <c r="G177" i="7"/>
  <c r="G5" i="2" s="1"/>
  <c r="F5" i="2"/>
  <c r="M32" i="6"/>
  <c r="E4" i="2" s="1"/>
  <c r="H4" i="2" s="1"/>
  <c r="D4" i="2"/>
  <c r="M33" i="6"/>
  <c r="E5" i="2" s="1"/>
  <c r="H5" i="2" s="1"/>
  <c r="D5" i="2"/>
  <c r="G175" i="7"/>
  <c r="G3" i="2" s="1"/>
  <c r="F3" i="2"/>
  <c r="M31" i="6"/>
  <c r="E3" i="2" s="1"/>
  <c r="D3" i="2"/>
  <c r="H3" i="2" l="1"/>
  <c r="D2" i="2"/>
  <c r="M30" i="6"/>
  <c r="E2" i="2" s="1"/>
  <c r="B7" i="2" l="1"/>
  <c r="H2" i="2"/>
</calcChain>
</file>

<file path=xl/sharedStrings.xml><?xml version="1.0" encoding="utf-8"?>
<sst xmlns="http://schemas.openxmlformats.org/spreadsheetml/2006/main" count="471" uniqueCount="144">
  <si>
    <t>Роль</t>
  </si>
  <si>
    <t>ФИО (эксперт)</t>
  </si>
  <si>
    <t>Участник 1</t>
  </si>
  <si>
    <t>Галенин Артем Владимирович</t>
  </si>
  <si>
    <t>Участник 2</t>
  </si>
  <si>
    <t>Ревин Антон Алексеевич</t>
  </si>
  <si>
    <t>Участник 3</t>
  </si>
  <si>
    <t>Участник 4</t>
  </si>
  <si>
    <t>Тема: Цифровизация вуза</t>
  </si>
  <si>
    <t>Альтернатива</t>
  </si>
  <si>
    <t>TOPSIS: d⁺</t>
  </si>
  <si>
    <t>TOPSIS: d⁻</t>
  </si>
  <si>
    <t>TOPSIS: CC</t>
  </si>
  <si>
    <t>TOPSIS: ранг</t>
  </si>
  <si>
    <t>МАИ: приоритет</t>
  </si>
  <si>
    <t>МАИ: ранг</t>
  </si>
  <si>
    <t>Совпадение рангов</t>
  </si>
  <si>
    <t>A. Электронный студенческий офис</t>
  </si>
  <si>
    <t>B. Умное расписание + аудитории</t>
  </si>
  <si>
    <t>C. Портал научных проектов магистрантов</t>
  </si>
  <si>
    <t>D. Личный кабинет абитуриента</t>
  </si>
  <si>
    <t>Рекомендуемая альтернатива по TOPSIS</t>
  </si>
  <si>
    <t>Рекомендуемая альтернатива по МАИ</t>
  </si>
  <si>
    <t>Критерий</t>
  </si>
  <si>
    <t>Уч.1 P</t>
  </si>
  <si>
    <t>Уч.1 E</t>
  </si>
  <si>
    <t>Уч.1 O</t>
  </si>
  <si>
    <t>Уч.2 P</t>
  </si>
  <si>
    <t>Уч.2 E</t>
  </si>
  <si>
    <t>Уч.2 O</t>
  </si>
  <si>
    <t>Уч.3 P</t>
  </si>
  <si>
    <t>Уч.3 E</t>
  </si>
  <si>
    <t>Уч.3 O</t>
  </si>
  <si>
    <t>Уч.4 P</t>
  </si>
  <si>
    <t>Уч.4 E</t>
  </si>
  <si>
    <t>Уч.4 O</t>
  </si>
  <si>
    <t>K1. Полезность для вуза</t>
  </si>
  <si>
    <t>K2. Простота реализации</t>
  </si>
  <si>
    <t>K3. Низкий риск</t>
  </si>
  <si>
    <t>K4. Потенциал развития</t>
  </si>
  <si>
    <t>K1P</t>
  </si>
  <si>
    <t>K1E</t>
  </si>
  <si>
    <t>K1O</t>
  </si>
  <si>
    <t>K2P</t>
  </si>
  <si>
    <t>K2E</t>
  </si>
  <si>
    <t>K2O</t>
  </si>
  <si>
    <t>K3P</t>
  </si>
  <si>
    <t>K3E</t>
  </si>
  <si>
    <t>K3O</t>
  </si>
  <si>
    <t>K4P</t>
  </si>
  <si>
    <t>K4E</t>
  </si>
  <si>
    <t>K4O</t>
  </si>
  <si>
    <t>a = min(P)</t>
  </si>
  <si>
    <t>b = mean(E)</t>
  </si>
  <si>
    <t>c = max(O)</t>
  </si>
  <si>
    <t>Defuzz (a+4b+c)/6</t>
  </si>
  <si>
    <t>Чёткий вес</t>
  </si>
  <si>
    <t>Нечёткий вес w_a</t>
  </si>
  <si>
    <t>w_b</t>
  </si>
  <si>
    <t>w_c</t>
  </si>
  <si>
    <t>K1_a</t>
  </si>
  <si>
    <t>K1_b</t>
  </si>
  <si>
    <t>K1_c</t>
  </si>
  <si>
    <t>K2_a</t>
  </si>
  <si>
    <t>K2_b</t>
  </si>
  <si>
    <t>K2_c</t>
  </si>
  <si>
    <t>K3_a</t>
  </si>
  <si>
    <t>K3_b</t>
  </si>
  <si>
    <t>K3_c</t>
  </si>
  <si>
    <t>K4_a</t>
  </si>
  <si>
    <t>K4_b</t>
  </si>
  <si>
    <t>K4_c</t>
  </si>
  <si>
    <t>Шаг 2. Нормализация (все критерии — «чем больше, тем лучше»: деление на c*_j = max c_ij по критерию)</t>
  </si>
  <si>
    <t>K1_a_n</t>
  </si>
  <si>
    <t>K1_b_n</t>
  </si>
  <si>
    <t>K1_c_n</t>
  </si>
  <si>
    <t>K2_a_n</t>
  </si>
  <si>
    <t>K2_b_n</t>
  </si>
  <si>
    <t>K2_c_n</t>
  </si>
  <si>
    <t>K3_a_n</t>
  </si>
  <si>
    <t>K3_b_n</t>
  </si>
  <si>
    <t>K3_c_n</t>
  </si>
  <si>
    <t>K4_a_n</t>
  </si>
  <si>
    <t>K4_b_n</t>
  </si>
  <si>
    <t>K4_c_n</t>
  </si>
  <si>
    <t>Шаг 3. Взвешенная нормализованная матрица (умножение треугольных чисел: a·w_a, b·w_b, c·w_c)</t>
  </si>
  <si>
    <t>K1_a_v</t>
  </si>
  <si>
    <t>K1_b_v</t>
  </si>
  <si>
    <t>K1_c_v</t>
  </si>
  <si>
    <t>K2_a_v</t>
  </si>
  <si>
    <t>K2_b_v</t>
  </si>
  <si>
    <t>K2_c_v</t>
  </si>
  <si>
    <t>K3_a_v</t>
  </si>
  <si>
    <t>K3_b_v</t>
  </si>
  <si>
    <t>K3_c_v</t>
  </si>
  <si>
    <t>K4_a_v</t>
  </si>
  <si>
    <t>K4_b_v</t>
  </si>
  <si>
    <t>K4_c_v</t>
  </si>
  <si>
    <t>Нормир. a⁻_j (min a по критерию)</t>
  </si>
  <si>
    <t>V⁺ (FPIS)</t>
  </si>
  <si>
    <t>V⁻ (FNIS)</t>
  </si>
  <si>
    <t>d⁺ K1</t>
  </si>
  <si>
    <t>d⁺ K2</t>
  </si>
  <si>
    <t>d⁺ K3</t>
  </si>
  <si>
    <t>d⁺ K4</t>
  </si>
  <si>
    <t>d⁺</t>
  </si>
  <si>
    <t>d⁻ K1</t>
  </si>
  <si>
    <t>d⁻ K2</t>
  </si>
  <si>
    <t>d⁻ K3</t>
  </si>
  <si>
    <t>d⁻ K4</t>
  </si>
  <si>
    <t>d⁻</t>
  </si>
  <si>
    <t>CC = d⁻/(d⁺+d⁻)</t>
  </si>
  <si>
    <t>Ранг</t>
  </si>
  <si>
    <t>1. Критерии: попарное сравнение важности</t>
  </si>
  <si>
    <t>Эксперт 1</t>
  </si>
  <si>
    <t>K1</t>
  </si>
  <si>
    <t>K2</t>
  </si>
  <si>
    <t>K3</t>
  </si>
  <si>
    <t>K4</t>
  </si>
  <si>
    <t>Эксперт 2</t>
  </si>
  <si>
    <t>Эксперт 3</t>
  </si>
  <si>
    <t>Эксперт 4</t>
  </si>
  <si>
    <t>Коллективная матрица (геом. среднее)</t>
  </si>
  <si>
    <t>Среднее геом. строки</t>
  </si>
  <si>
    <t>Приоритет w</t>
  </si>
  <si>
    <t>λmax</t>
  </si>
  <si>
    <t>ИС = (λmax−n)/(n−1)</t>
  </si>
  <si>
    <t>ОС = ИС/СИ (СИ=0.9)</t>
  </si>
  <si>
    <t>2. Альтернативы по критерию K1. Полезность для вуза</t>
  </si>
  <si>
    <t>A.</t>
  </si>
  <si>
    <t>B.</t>
  </si>
  <si>
    <t>C.</t>
  </si>
  <si>
    <t>D.</t>
  </si>
  <si>
    <t>3. Альтернативы по критерию K2. Простота реализации</t>
  </si>
  <si>
    <t>4. Альтернативы по критерию K3. Низкий риск</t>
  </si>
  <si>
    <t>5. Альтернативы по критерию K4. Потенциал развития</t>
  </si>
  <si>
    <t>Приоритет</t>
  </si>
  <si>
    <t>Вес критерия</t>
  </si>
  <si>
    <t>Ример Андрей Алексеевич</t>
  </si>
  <si>
    <t>Журавлев Виталий Вадимович</t>
  </si>
  <si>
    <t>Шаг 1. Агрегированная нечёткая матрица решений</t>
  </si>
  <si>
    <t>Шаг 4. Нечёткое идеальное и анти-идеальное решения по Чену для нормированной матрицы</t>
  </si>
  <si>
    <t>Шаг 5. Расстояния (вершинный метод)</t>
  </si>
  <si>
    <t>Итоговый синтез: глобальный приоритет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</si>
</sst>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1" fillId="0" borderId="0" xfId="0" applyFont="1"/>
    <xf numFmtId="2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selection activeCell="A9" sqref="A9:XFD9"/>
    </sheetView>
  </sheetViews>
  <sheetFormatPr defaultColWidth="8.7109375" defaultRowHeight="15" x14ac:dyDescent="0.25"/>
  <cols>
    <col min="1" max="1" width="22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138</v>
      </c>
    </row>
    <row r="5" spans="1:2" x14ac:dyDescent="0.25">
      <c r="A5" s="2" t="s">
        <v>7</v>
      </c>
      <c r="B5" s="3" t="s">
        <v>139</v>
      </c>
    </row>
    <row r="7" spans="1:2" ht="45" x14ac:dyDescent="0.25">
      <c r="A7" s="4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zoomScaleNormal="100" workbookViewId="0">
      <selection activeCell="A7" sqref="A7:XFD7"/>
    </sheetView>
  </sheetViews>
  <sheetFormatPr defaultColWidth="8.7109375" defaultRowHeight="15" x14ac:dyDescent="0.25"/>
  <cols>
    <col min="1" max="1" width="30" customWidth="1"/>
    <col min="2" max="13" width="8" customWidth="1"/>
  </cols>
  <sheetData>
    <row r="1" spans="1:13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 x14ac:dyDescent="0.25">
      <c r="A2" s="2" t="s">
        <v>36</v>
      </c>
      <c r="B2" s="7">
        <v>7</v>
      </c>
      <c r="C2" s="7">
        <v>9</v>
      </c>
      <c r="D2" s="7">
        <v>10</v>
      </c>
      <c r="E2" s="7">
        <v>6</v>
      </c>
      <c r="F2" s="7">
        <v>8</v>
      </c>
      <c r="G2" s="7">
        <v>10</v>
      </c>
      <c r="H2" s="11">
        <v>7</v>
      </c>
      <c r="I2" s="11">
        <v>8</v>
      </c>
      <c r="J2" s="11">
        <v>10</v>
      </c>
      <c r="K2" s="11">
        <v>6</v>
      </c>
      <c r="L2" s="11">
        <v>9</v>
      </c>
      <c r="M2" s="11">
        <v>10</v>
      </c>
    </row>
    <row r="3" spans="1:13" x14ac:dyDescent="0.25">
      <c r="A3" s="2" t="s">
        <v>37</v>
      </c>
      <c r="B3" s="7">
        <v>4</v>
      </c>
      <c r="C3" s="7">
        <v>7</v>
      </c>
      <c r="D3" s="7">
        <v>8</v>
      </c>
      <c r="E3" s="7">
        <v>5</v>
      </c>
      <c r="F3" s="7">
        <v>6</v>
      </c>
      <c r="G3" s="7">
        <v>9</v>
      </c>
      <c r="H3" s="11">
        <v>5</v>
      </c>
      <c r="I3" s="11">
        <v>7</v>
      </c>
      <c r="J3" s="11">
        <v>9</v>
      </c>
      <c r="K3" s="11">
        <v>4</v>
      </c>
      <c r="L3" s="11">
        <v>6</v>
      </c>
      <c r="M3" s="11">
        <v>8</v>
      </c>
    </row>
    <row r="4" spans="1:13" x14ac:dyDescent="0.25">
      <c r="A4" s="2" t="s">
        <v>38</v>
      </c>
      <c r="B4" s="7">
        <v>5</v>
      </c>
      <c r="C4" s="7">
        <v>7</v>
      </c>
      <c r="D4" s="7">
        <v>9</v>
      </c>
      <c r="E4" s="7">
        <v>4</v>
      </c>
      <c r="F4" s="7">
        <v>6</v>
      </c>
      <c r="G4" s="7">
        <v>8</v>
      </c>
      <c r="H4" s="11">
        <v>5</v>
      </c>
      <c r="I4" s="11">
        <v>6</v>
      </c>
      <c r="J4" s="11">
        <v>8</v>
      </c>
      <c r="K4" s="11">
        <v>4</v>
      </c>
      <c r="L4" s="11">
        <v>7</v>
      </c>
      <c r="M4" s="11">
        <v>9</v>
      </c>
    </row>
    <row r="5" spans="1:13" x14ac:dyDescent="0.25">
      <c r="A5" s="2" t="s">
        <v>39</v>
      </c>
      <c r="B5" s="7">
        <v>6</v>
      </c>
      <c r="C5" s="7">
        <v>8</v>
      </c>
      <c r="D5" s="7">
        <v>9</v>
      </c>
      <c r="E5" s="7">
        <v>6</v>
      </c>
      <c r="F5" s="7">
        <v>9</v>
      </c>
      <c r="G5" s="7">
        <v>10</v>
      </c>
      <c r="H5" s="11">
        <v>7</v>
      </c>
      <c r="I5" s="11">
        <v>9</v>
      </c>
      <c r="J5" s="11">
        <v>10</v>
      </c>
      <c r="K5" s="11">
        <v>6</v>
      </c>
      <c r="L5" s="11">
        <v>8</v>
      </c>
      <c r="M5" s="11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Normal="100" workbookViewId="0">
      <selection activeCell="A7" sqref="A7:I8"/>
    </sheetView>
  </sheetViews>
  <sheetFormatPr defaultColWidth="8.7109375" defaultRowHeight="15" x14ac:dyDescent="0.25"/>
  <cols>
    <col min="1" max="1" width="30" customWidth="1"/>
    <col min="2" max="9" width="14" customWidth="1"/>
  </cols>
  <sheetData>
    <row r="1" spans="1:9" ht="30" x14ac:dyDescent="0.25">
      <c r="A1" s="1" t="s">
        <v>23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 x14ac:dyDescent="0.25">
      <c r="A2" s="2" t="s">
        <v>36</v>
      </c>
      <c r="B2" s="9">
        <f>MIN(Оценки_Критерии!B2,Оценки_Критерии!E2,Оценки_Критерии!H2,Оценки_Критерии!K2)</f>
        <v>6</v>
      </c>
      <c r="C2" s="9">
        <f>AVERAGE(Оценки_Критерии!C2,Оценки_Критерии!F2,Оценки_Критерии!I2,Оценки_Критерии!L2)</f>
        <v>8.5</v>
      </c>
      <c r="D2" s="9">
        <f>MAX(Оценки_Критерии!D2,Оценки_Критерии!G2,Оценки_Критерии!J2,Оценки_Критерии!M2)</f>
        <v>10</v>
      </c>
      <c r="E2" s="10">
        <f>(B2+4*C2+D2)/6</f>
        <v>8.3333333333333339</v>
      </c>
      <c r="F2" s="5">
        <f>E2/SUM($E$2:$E$5)</f>
        <v>0.28089887640449435</v>
      </c>
      <c r="G2" s="10">
        <f t="shared" ref="G2:I5" si="0">B2/10</f>
        <v>0.6</v>
      </c>
      <c r="H2" s="10">
        <f t="shared" si="0"/>
        <v>0.85</v>
      </c>
      <c r="I2" s="10">
        <f t="shared" si="0"/>
        <v>1</v>
      </c>
    </row>
    <row r="3" spans="1:9" x14ac:dyDescent="0.25">
      <c r="A3" s="2" t="s">
        <v>37</v>
      </c>
      <c r="B3" s="9">
        <f>MIN(Оценки_Критерии!B3,Оценки_Критерии!E3,Оценки_Критерии!H3,Оценки_Критерии!K3)</f>
        <v>4</v>
      </c>
      <c r="C3" s="9">
        <f>AVERAGE(Оценки_Критерии!C3,Оценки_Критерии!F3,Оценки_Критерии!I3,Оценки_Критерии!L3)</f>
        <v>6.5</v>
      </c>
      <c r="D3" s="9">
        <f>MAX(Оценки_Критерии!D3,Оценки_Критерии!G3,Оценки_Критерии!J3,Оценки_Критерии!M3)</f>
        <v>9</v>
      </c>
      <c r="E3" s="10">
        <f>(B3+4*C3+D3)/6</f>
        <v>6.5</v>
      </c>
      <c r="F3" s="5">
        <f>E3/SUM($E$2:$E$5)</f>
        <v>0.21910112359550557</v>
      </c>
      <c r="G3" s="10">
        <f t="shared" si="0"/>
        <v>0.4</v>
      </c>
      <c r="H3" s="10">
        <f t="shared" si="0"/>
        <v>0.65</v>
      </c>
      <c r="I3" s="10">
        <f t="shared" si="0"/>
        <v>0.9</v>
      </c>
    </row>
    <row r="4" spans="1:9" x14ac:dyDescent="0.25">
      <c r="A4" s="2" t="s">
        <v>38</v>
      </c>
      <c r="B4" s="9">
        <f>MIN(Оценки_Критерии!B4,Оценки_Критерии!E4,Оценки_Критерии!H4,Оценки_Критерии!K4)</f>
        <v>4</v>
      </c>
      <c r="C4" s="9">
        <f>AVERAGE(Оценки_Критерии!C4,Оценки_Критерии!F4,Оценки_Критерии!I4,Оценки_Критерии!L4)</f>
        <v>6.5</v>
      </c>
      <c r="D4" s="9">
        <f>MAX(Оценки_Критерии!D4,Оценки_Критерии!G4,Оценки_Критерии!J4,Оценки_Критерии!M4)</f>
        <v>9</v>
      </c>
      <c r="E4" s="10">
        <f>(B4+4*C4+D4)/6</f>
        <v>6.5</v>
      </c>
      <c r="F4" s="5">
        <f>E4/SUM($E$2:$E$5)</f>
        <v>0.21910112359550557</v>
      </c>
      <c r="G4" s="10">
        <f t="shared" si="0"/>
        <v>0.4</v>
      </c>
      <c r="H4" s="10">
        <f t="shared" si="0"/>
        <v>0.65</v>
      </c>
      <c r="I4" s="10">
        <f t="shared" si="0"/>
        <v>0.9</v>
      </c>
    </row>
    <row r="5" spans="1:9" x14ac:dyDescent="0.25">
      <c r="A5" s="2" t="s">
        <v>39</v>
      </c>
      <c r="B5" s="9">
        <f>MIN(Оценки_Критерии!B5,Оценки_Критерии!E5,Оценки_Критерии!H5,Оценки_Критерии!K5)</f>
        <v>6</v>
      </c>
      <c r="C5" s="9">
        <f>AVERAGE(Оценки_Критерии!C5,Оценки_Критерии!F5,Оценки_Критерии!I5,Оценки_Критерии!L5)</f>
        <v>8.5</v>
      </c>
      <c r="D5" s="9">
        <f>MAX(Оценки_Критерии!D5,Оценки_Критерии!G5,Оценки_Критерии!J5,Оценки_Критерии!M5)</f>
        <v>10</v>
      </c>
      <c r="E5" s="10">
        <f>(B5+4*C5+D5)/6</f>
        <v>8.3333333333333339</v>
      </c>
      <c r="F5" s="5">
        <f>E5/SUM($E$2:$E$5)</f>
        <v>0.28089887640449435</v>
      </c>
      <c r="G5" s="10">
        <f t="shared" si="0"/>
        <v>0.6</v>
      </c>
      <c r="H5" s="10">
        <f t="shared" si="0"/>
        <v>0.85</v>
      </c>
      <c r="I5" s="10">
        <f t="shared" si="0"/>
        <v>1</v>
      </c>
    </row>
    <row r="7" spans="1:9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Normal="100" workbookViewId="0">
      <selection activeCell="F31" sqref="F31"/>
    </sheetView>
  </sheetViews>
  <sheetFormatPr defaultColWidth="8.7109375" defaultRowHeight="15" x14ac:dyDescent="0.25"/>
  <cols>
    <col min="1" max="1" width="40" customWidth="1"/>
    <col min="2" max="13" width="6.5703125" customWidth="1"/>
  </cols>
  <sheetData>
    <row r="1" spans="1:13" x14ac:dyDescent="0.25">
      <c r="A1" s="4" t="s">
        <v>2</v>
      </c>
      <c r="B1" s="8" t="str">
        <f>Команда!B2</f>
        <v>Галенин Артем Владимирович</v>
      </c>
    </row>
    <row r="2" spans="1:13" x14ac:dyDescent="0.25">
      <c r="A2" s="1" t="s">
        <v>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</row>
    <row r="3" spans="1:13" x14ac:dyDescent="0.25">
      <c r="A3" s="2" t="s">
        <v>17</v>
      </c>
      <c r="B3" s="7">
        <v>7</v>
      </c>
      <c r="C3" s="7">
        <v>9</v>
      </c>
      <c r="D3" s="7">
        <v>10</v>
      </c>
      <c r="E3" s="7">
        <v>5</v>
      </c>
      <c r="F3" s="7">
        <v>7</v>
      </c>
      <c r="G3" s="7">
        <v>8</v>
      </c>
      <c r="H3" s="7">
        <v>5</v>
      </c>
      <c r="I3" s="7">
        <v>7</v>
      </c>
      <c r="J3" s="7">
        <v>9</v>
      </c>
      <c r="K3" s="7">
        <v>6</v>
      </c>
      <c r="L3" s="7">
        <v>8</v>
      </c>
      <c r="M3" s="7">
        <v>9</v>
      </c>
    </row>
    <row r="4" spans="1:13" x14ac:dyDescent="0.25">
      <c r="A4" s="2" t="s">
        <v>18</v>
      </c>
      <c r="B4" s="7">
        <v>6</v>
      </c>
      <c r="C4" s="7">
        <v>8</v>
      </c>
      <c r="D4" s="7">
        <v>9</v>
      </c>
      <c r="E4" s="7">
        <v>6</v>
      </c>
      <c r="F4" s="7">
        <v>8</v>
      </c>
      <c r="G4" s="7">
        <v>9</v>
      </c>
      <c r="H4" s="7">
        <v>6</v>
      </c>
      <c r="I4" s="7">
        <v>8</v>
      </c>
      <c r="J4" s="7">
        <v>10</v>
      </c>
      <c r="K4" s="7">
        <v>6</v>
      </c>
      <c r="L4" s="7">
        <v>8</v>
      </c>
      <c r="M4" s="7">
        <v>9</v>
      </c>
    </row>
    <row r="5" spans="1:13" ht="28.5" x14ac:dyDescent="0.25">
      <c r="A5" s="2" t="s">
        <v>19</v>
      </c>
      <c r="B5" s="7">
        <v>6</v>
      </c>
      <c r="C5" s="7">
        <v>8</v>
      </c>
      <c r="D5" s="7">
        <v>9</v>
      </c>
      <c r="E5" s="7">
        <v>4</v>
      </c>
      <c r="F5" s="7">
        <v>6</v>
      </c>
      <c r="G5" s="7">
        <v>7</v>
      </c>
      <c r="H5" s="7">
        <v>4</v>
      </c>
      <c r="I5" s="7">
        <v>6</v>
      </c>
      <c r="J5" s="7">
        <v>7</v>
      </c>
      <c r="K5" s="7">
        <v>7</v>
      </c>
      <c r="L5" s="7">
        <v>9</v>
      </c>
      <c r="M5" s="7">
        <v>10</v>
      </c>
    </row>
    <row r="6" spans="1:13" x14ac:dyDescent="0.25">
      <c r="A6" s="2" t="s">
        <v>20</v>
      </c>
      <c r="B6" s="7">
        <v>7</v>
      </c>
      <c r="C6" s="7">
        <v>9</v>
      </c>
      <c r="D6" s="7">
        <v>10</v>
      </c>
      <c r="E6" s="7">
        <v>7</v>
      </c>
      <c r="F6" s="7">
        <v>9</v>
      </c>
      <c r="G6" s="7">
        <v>10</v>
      </c>
      <c r="H6" s="7">
        <v>6</v>
      </c>
      <c r="I6" s="7">
        <v>8</v>
      </c>
      <c r="J6" s="7">
        <v>9</v>
      </c>
      <c r="K6" s="7">
        <v>4</v>
      </c>
      <c r="L6" s="7">
        <v>6</v>
      </c>
      <c r="M6" s="7">
        <v>7</v>
      </c>
    </row>
    <row r="8" spans="1:13" x14ac:dyDescent="0.25">
      <c r="A8" s="4" t="s">
        <v>4</v>
      </c>
      <c r="B8" s="8" t="str">
        <f>Команда!B3</f>
        <v>Ревин Антон Алексеевич</v>
      </c>
    </row>
    <row r="9" spans="1:13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51</v>
      </c>
    </row>
    <row r="10" spans="1:13" x14ac:dyDescent="0.25">
      <c r="A10" s="2" t="s">
        <v>17</v>
      </c>
      <c r="B10" s="7">
        <v>6</v>
      </c>
      <c r="C10" s="7">
        <v>8</v>
      </c>
      <c r="D10" s="7">
        <v>9</v>
      </c>
      <c r="E10" s="7">
        <v>5</v>
      </c>
      <c r="F10" s="7">
        <v>6</v>
      </c>
      <c r="G10" s="7">
        <v>8</v>
      </c>
      <c r="H10" s="7">
        <v>5</v>
      </c>
      <c r="I10" s="7">
        <v>6</v>
      </c>
      <c r="J10" s="7">
        <v>8</v>
      </c>
      <c r="K10" s="7">
        <v>6</v>
      </c>
      <c r="L10" s="7">
        <v>8</v>
      </c>
      <c r="M10" s="7">
        <v>9</v>
      </c>
    </row>
    <row r="11" spans="1:13" x14ac:dyDescent="0.25">
      <c r="A11" s="2" t="s">
        <v>18</v>
      </c>
      <c r="B11" s="7">
        <v>6</v>
      </c>
      <c r="C11" s="7">
        <v>7</v>
      </c>
      <c r="D11" s="7">
        <v>9</v>
      </c>
      <c r="E11" s="7">
        <v>6</v>
      </c>
      <c r="F11" s="7">
        <v>8</v>
      </c>
      <c r="G11" s="7">
        <v>9</v>
      </c>
      <c r="H11" s="7">
        <v>7</v>
      </c>
      <c r="I11" s="7">
        <v>9</v>
      </c>
      <c r="J11" s="7">
        <v>10</v>
      </c>
      <c r="K11" s="7">
        <v>5</v>
      </c>
      <c r="L11" s="7">
        <v>7</v>
      </c>
      <c r="M11" s="7">
        <v>8</v>
      </c>
    </row>
    <row r="12" spans="1:13" ht="28.5" x14ac:dyDescent="0.25">
      <c r="A12" s="2" t="s">
        <v>19</v>
      </c>
      <c r="B12" s="7">
        <v>5</v>
      </c>
      <c r="C12" s="7">
        <v>7</v>
      </c>
      <c r="D12" s="7">
        <v>8</v>
      </c>
      <c r="E12" s="7">
        <v>4</v>
      </c>
      <c r="F12" s="7">
        <v>5</v>
      </c>
      <c r="G12" s="7">
        <v>7</v>
      </c>
      <c r="H12" s="7">
        <v>4</v>
      </c>
      <c r="I12" s="7">
        <v>5</v>
      </c>
      <c r="J12" s="7">
        <v>6</v>
      </c>
      <c r="K12" s="7">
        <v>7</v>
      </c>
      <c r="L12" s="7">
        <v>8</v>
      </c>
      <c r="M12" s="7">
        <v>9</v>
      </c>
    </row>
    <row r="13" spans="1:13" x14ac:dyDescent="0.25">
      <c r="A13" s="2" t="s">
        <v>20</v>
      </c>
      <c r="B13" s="7">
        <v>7</v>
      </c>
      <c r="C13" s="7">
        <v>9</v>
      </c>
      <c r="D13" s="7">
        <v>10</v>
      </c>
      <c r="E13" s="7">
        <v>7</v>
      </c>
      <c r="F13" s="7">
        <v>8</v>
      </c>
      <c r="G13" s="7">
        <v>9</v>
      </c>
      <c r="H13" s="7">
        <v>6</v>
      </c>
      <c r="I13" s="7">
        <v>8</v>
      </c>
      <c r="J13" s="7">
        <v>9</v>
      </c>
      <c r="K13" s="7">
        <v>4</v>
      </c>
      <c r="L13" s="7">
        <v>5</v>
      </c>
      <c r="M13" s="7">
        <v>7</v>
      </c>
    </row>
    <row r="15" spans="1:13" x14ac:dyDescent="0.25">
      <c r="A15" s="4" t="s">
        <v>6</v>
      </c>
      <c r="B15" s="8" t="str">
        <f>Команда!B4</f>
        <v>Ример Андрей Алексеевич</v>
      </c>
    </row>
    <row r="16" spans="1:13" x14ac:dyDescent="0.25">
      <c r="A16" s="1" t="s">
        <v>9</v>
      </c>
      <c r="B16" s="1" t="s">
        <v>40</v>
      </c>
      <c r="C16" s="1" t="s">
        <v>41</v>
      </c>
      <c r="D16" s="1" t="s">
        <v>42</v>
      </c>
      <c r="E16" s="1" t="s">
        <v>43</v>
      </c>
      <c r="F16" s="1" t="s">
        <v>44</v>
      </c>
      <c r="G16" s="1" t="s">
        <v>45</v>
      </c>
      <c r="H16" s="1" t="s">
        <v>46</v>
      </c>
      <c r="I16" s="1" t="s">
        <v>47</v>
      </c>
      <c r="J16" s="1" t="s">
        <v>48</v>
      </c>
      <c r="K16" s="1" t="s">
        <v>49</v>
      </c>
      <c r="L16" s="1" t="s">
        <v>50</v>
      </c>
      <c r="M16" s="1" t="s">
        <v>51</v>
      </c>
    </row>
    <row r="17" spans="1:13" x14ac:dyDescent="0.25">
      <c r="A17" s="2" t="s">
        <v>17</v>
      </c>
      <c r="B17" s="11">
        <v>7</v>
      </c>
      <c r="C17" s="11">
        <v>8</v>
      </c>
      <c r="D17" s="11">
        <v>10</v>
      </c>
      <c r="E17" s="11">
        <v>4</v>
      </c>
      <c r="F17" s="11">
        <v>6</v>
      </c>
      <c r="G17" s="11">
        <v>8</v>
      </c>
      <c r="H17" s="11">
        <v>5</v>
      </c>
      <c r="I17" s="11">
        <v>7</v>
      </c>
      <c r="J17" s="11">
        <v>8</v>
      </c>
      <c r="K17" s="11">
        <v>7</v>
      </c>
      <c r="L17" s="11">
        <v>8</v>
      </c>
      <c r="M17" s="11">
        <v>9</v>
      </c>
    </row>
    <row r="18" spans="1:13" x14ac:dyDescent="0.25">
      <c r="A18" s="2" t="s">
        <v>18</v>
      </c>
      <c r="B18" s="11">
        <v>5</v>
      </c>
      <c r="C18" s="11">
        <v>7</v>
      </c>
      <c r="D18" s="11">
        <v>9</v>
      </c>
      <c r="E18" s="11">
        <v>6</v>
      </c>
      <c r="F18" s="11">
        <v>8</v>
      </c>
      <c r="G18" s="11">
        <v>9</v>
      </c>
      <c r="H18" s="11">
        <v>6</v>
      </c>
      <c r="I18" s="11">
        <v>8</v>
      </c>
      <c r="J18" s="11">
        <v>9</v>
      </c>
      <c r="K18" s="11">
        <v>5</v>
      </c>
      <c r="L18" s="11">
        <v>7</v>
      </c>
      <c r="M18" s="11">
        <v>9</v>
      </c>
    </row>
    <row r="19" spans="1:13" ht="28.5" x14ac:dyDescent="0.25">
      <c r="A19" s="2" t="s">
        <v>19</v>
      </c>
      <c r="B19" s="11">
        <v>6</v>
      </c>
      <c r="C19" s="11">
        <v>8</v>
      </c>
      <c r="D19" s="11">
        <v>9</v>
      </c>
      <c r="E19" s="11">
        <v>4</v>
      </c>
      <c r="F19" s="11">
        <v>6</v>
      </c>
      <c r="G19" s="11">
        <v>7</v>
      </c>
      <c r="H19" s="11">
        <v>3</v>
      </c>
      <c r="I19" s="11">
        <v>5</v>
      </c>
      <c r="J19" s="11">
        <v>7</v>
      </c>
      <c r="K19" s="11">
        <v>7</v>
      </c>
      <c r="L19" s="11">
        <v>9</v>
      </c>
      <c r="M19" s="11">
        <v>10</v>
      </c>
    </row>
    <row r="20" spans="1:13" x14ac:dyDescent="0.25">
      <c r="A20" s="2" t="s">
        <v>20</v>
      </c>
      <c r="B20" s="11">
        <v>7</v>
      </c>
      <c r="C20" s="11">
        <v>9</v>
      </c>
      <c r="D20" s="11">
        <v>10</v>
      </c>
      <c r="E20" s="11">
        <v>6</v>
      </c>
      <c r="F20" s="11">
        <v>8</v>
      </c>
      <c r="G20" s="11">
        <v>9</v>
      </c>
      <c r="H20" s="11">
        <v>6</v>
      </c>
      <c r="I20" s="11">
        <v>7</v>
      </c>
      <c r="J20" s="11">
        <v>9</v>
      </c>
      <c r="K20" s="11">
        <v>3</v>
      </c>
      <c r="L20" s="11">
        <v>5</v>
      </c>
      <c r="M20" s="11">
        <v>6</v>
      </c>
    </row>
    <row r="22" spans="1:13" x14ac:dyDescent="0.25">
      <c r="A22" s="4" t="s">
        <v>7</v>
      </c>
      <c r="B22" s="8" t="str">
        <f>Команда!B5</f>
        <v>Журавлев Виталий Вадимович</v>
      </c>
    </row>
    <row r="23" spans="1:13" x14ac:dyDescent="0.25">
      <c r="A23" s="1" t="s">
        <v>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50</v>
      </c>
      <c r="M23" s="1" t="s">
        <v>51</v>
      </c>
    </row>
    <row r="24" spans="1:13" x14ac:dyDescent="0.25">
      <c r="A24" s="2" t="s">
        <v>17</v>
      </c>
      <c r="B24" s="11">
        <v>6</v>
      </c>
      <c r="C24" s="11">
        <v>8</v>
      </c>
      <c r="D24" s="11">
        <v>9</v>
      </c>
      <c r="E24" s="11">
        <v>5</v>
      </c>
      <c r="F24" s="11">
        <v>7</v>
      </c>
      <c r="G24" s="11">
        <v>8</v>
      </c>
      <c r="H24" s="11">
        <v>4</v>
      </c>
      <c r="I24" s="11">
        <v>6</v>
      </c>
      <c r="J24" s="11">
        <v>8</v>
      </c>
      <c r="K24" s="11">
        <v>6</v>
      </c>
      <c r="L24" s="11">
        <v>8</v>
      </c>
      <c r="M24" s="11">
        <v>10</v>
      </c>
    </row>
    <row r="25" spans="1:13" x14ac:dyDescent="0.25">
      <c r="A25" s="2" t="s">
        <v>18</v>
      </c>
      <c r="B25" s="11">
        <v>6</v>
      </c>
      <c r="C25" s="11">
        <v>8</v>
      </c>
      <c r="D25" s="11">
        <v>9</v>
      </c>
      <c r="E25" s="11">
        <v>7</v>
      </c>
      <c r="F25" s="11">
        <v>8</v>
      </c>
      <c r="G25" s="11">
        <v>10</v>
      </c>
      <c r="H25" s="11">
        <v>6</v>
      </c>
      <c r="I25" s="11">
        <v>8</v>
      </c>
      <c r="J25" s="11">
        <v>10</v>
      </c>
      <c r="K25" s="11">
        <v>5</v>
      </c>
      <c r="L25" s="11">
        <v>7</v>
      </c>
      <c r="M25" s="11">
        <v>8</v>
      </c>
    </row>
    <row r="26" spans="1:13" ht="28.5" x14ac:dyDescent="0.25">
      <c r="A26" s="2" t="s">
        <v>19</v>
      </c>
      <c r="B26" s="11">
        <v>5</v>
      </c>
      <c r="C26" s="11">
        <v>7</v>
      </c>
      <c r="D26" s="11">
        <v>9</v>
      </c>
      <c r="E26" s="11">
        <v>3</v>
      </c>
      <c r="F26" s="11">
        <v>5</v>
      </c>
      <c r="G26" s="11">
        <v>7</v>
      </c>
      <c r="H26" s="11">
        <v>4</v>
      </c>
      <c r="I26" s="11">
        <v>6</v>
      </c>
      <c r="J26" s="11">
        <v>7</v>
      </c>
      <c r="K26" s="11">
        <v>6</v>
      </c>
      <c r="L26" s="11">
        <v>8</v>
      </c>
      <c r="M26" s="11">
        <v>10</v>
      </c>
    </row>
    <row r="27" spans="1:13" x14ac:dyDescent="0.25">
      <c r="A27" s="2" t="s">
        <v>20</v>
      </c>
      <c r="B27" s="11">
        <v>8</v>
      </c>
      <c r="C27" s="11">
        <v>9</v>
      </c>
      <c r="D27" s="11">
        <v>10</v>
      </c>
      <c r="E27" s="11">
        <v>7</v>
      </c>
      <c r="F27" s="11">
        <v>9</v>
      </c>
      <c r="G27" s="11">
        <v>10</v>
      </c>
      <c r="H27" s="11">
        <v>6</v>
      </c>
      <c r="I27" s="11">
        <v>8</v>
      </c>
      <c r="J27" s="11">
        <v>9</v>
      </c>
      <c r="K27" s="11">
        <v>4</v>
      </c>
      <c r="L27" s="11">
        <v>6</v>
      </c>
      <c r="M27" s="11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O25" sqref="O25"/>
    </sheetView>
  </sheetViews>
  <sheetFormatPr defaultColWidth="8.7109375" defaultRowHeight="15" x14ac:dyDescent="0.25"/>
  <cols>
    <col min="1" max="1" width="40" customWidth="1"/>
    <col min="2" max="11" width="10" customWidth="1"/>
    <col min="12" max="12" width="14" customWidth="1"/>
    <col min="13" max="13" width="10" customWidth="1"/>
  </cols>
  <sheetData>
    <row r="1" spans="1:13" ht="30" x14ac:dyDescent="0.25">
      <c r="A1" s="4" t="s">
        <v>140</v>
      </c>
    </row>
    <row r="2" spans="1:13" x14ac:dyDescent="0.25">
      <c r="A2" s="1" t="s">
        <v>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</row>
    <row r="3" spans="1:13" x14ac:dyDescent="0.25">
      <c r="A3" s="2" t="s">
        <v>17</v>
      </c>
      <c r="B3" s="9">
        <f>MIN(Оценки_Альтернативы!B3,Оценки_Альтернативы!B10,Оценки_Альтернативы!B17,Оценки_Альтернативы!B24)</f>
        <v>6</v>
      </c>
      <c r="C3" s="9">
        <f>AVERAGE(Оценки_Альтернативы!C3,Оценки_Альтернативы!C10,Оценки_Альтернативы!C17,Оценки_Альтернативы!C24)</f>
        <v>8.25</v>
      </c>
      <c r="D3" s="9">
        <f>MAX(Оценки_Альтернативы!D3,Оценки_Альтернативы!D10,Оценки_Альтернативы!D17,Оценки_Альтернативы!D24)</f>
        <v>10</v>
      </c>
      <c r="E3" s="9">
        <f>MIN(Оценки_Альтернативы!E3,Оценки_Альтернативы!E10,Оценки_Альтернативы!E17,Оценки_Альтернативы!E24)</f>
        <v>4</v>
      </c>
      <c r="F3" s="9">
        <f>AVERAGE(Оценки_Альтернативы!F3,Оценки_Альтернативы!F10,Оценки_Альтернативы!F17,Оценки_Альтернативы!F24)</f>
        <v>6.5</v>
      </c>
      <c r="G3" s="9">
        <f>MAX(Оценки_Альтернативы!G3,Оценки_Альтернативы!G10,Оценки_Альтернативы!G17,Оценки_Альтернативы!G24)</f>
        <v>8</v>
      </c>
      <c r="H3" s="9">
        <f>MIN(Оценки_Альтернативы!H3,Оценки_Альтернативы!H10,Оценки_Альтернативы!H17,Оценки_Альтернативы!H24)</f>
        <v>4</v>
      </c>
      <c r="I3" s="9">
        <f>AVERAGE(Оценки_Альтернативы!I3,Оценки_Альтернативы!I10,Оценки_Альтернативы!I17,Оценки_Альтернативы!I24)</f>
        <v>6.5</v>
      </c>
      <c r="J3" s="9">
        <f>MAX(Оценки_Альтернативы!J3,Оценки_Альтернативы!J10,Оценки_Альтернативы!J17,Оценки_Альтернативы!J24)</f>
        <v>9</v>
      </c>
      <c r="K3" s="9">
        <f>MIN(Оценки_Альтернативы!K3,Оценки_Альтернативы!K10,Оценки_Альтернативы!K17,Оценки_Альтернативы!K24)</f>
        <v>6</v>
      </c>
      <c r="L3" s="9">
        <f>AVERAGE(Оценки_Альтернативы!L3,Оценки_Альтернативы!L10,Оценки_Альтернативы!L17,Оценки_Альтернативы!L24)</f>
        <v>8</v>
      </c>
      <c r="M3" s="9">
        <f>MAX(Оценки_Альтернативы!M3,Оценки_Альтернативы!M10,Оценки_Альтернативы!M17,Оценки_Альтернативы!M24)</f>
        <v>10</v>
      </c>
    </row>
    <row r="4" spans="1:13" x14ac:dyDescent="0.25">
      <c r="A4" s="2" t="s">
        <v>18</v>
      </c>
      <c r="B4" s="9">
        <f>MIN(Оценки_Альтернативы!B4,Оценки_Альтернативы!B11,Оценки_Альтернативы!B18,Оценки_Альтернативы!B25)</f>
        <v>5</v>
      </c>
      <c r="C4" s="9">
        <f>AVERAGE(Оценки_Альтернативы!C4,Оценки_Альтернативы!C11,Оценки_Альтернативы!C18,Оценки_Альтернативы!C25)</f>
        <v>7.5</v>
      </c>
      <c r="D4" s="9">
        <f>MAX(Оценки_Альтернативы!D4,Оценки_Альтернативы!D11,Оценки_Альтернативы!D18,Оценки_Альтернативы!D25)</f>
        <v>9</v>
      </c>
      <c r="E4" s="9">
        <f>MIN(Оценки_Альтернативы!E4,Оценки_Альтернативы!E11,Оценки_Альтернативы!E18,Оценки_Альтернативы!E25)</f>
        <v>6</v>
      </c>
      <c r="F4" s="9">
        <f>AVERAGE(Оценки_Альтернативы!F4,Оценки_Альтернативы!F11,Оценки_Альтернативы!F18,Оценки_Альтернативы!F25)</f>
        <v>8</v>
      </c>
      <c r="G4" s="9">
        <f>MAX(Оценки_Альтернативы!G4,Оценки_Альтернативы!G11,Оценки_Альтернативы!G18,Оценки_Альтернативы!G25)</f>
        <v>10</v>
      </c>
      <c r="H4" s="9">
        <f>MIN(Оценки_Альтернативы!H4,Оценки_Альтернативы!H11,Оценки_Альтернативы!H18,Оценки_Альтернативы!H25)</f>
        <v>6</v>
      </c>
      <c r="I4" s="9">
        <f>AVERAGE(Оценки_Альтернативы!I4,Оценки_Альтернативы!I11,Оценки_Альтернативы!I18,Оценки_Альтернативы!I25)</f>
        <v>8.25</v>
      </c>
      <c r="J4" s="9">
        <f>MAX(Оценки_Альтернативы!J4,Оценки_Альтернативы!J11,Оценки_Альтернативы!J18,Оценки_Альтернативы!J25)</f>
        <v>10</v>
      </c>
      <c r="K4" s="9">
        <f>MIN(Оценки_Альтернативы!K4,Оценки_Альтернативы!K11,Оценки_Альтернативы!K18,Оценки_Альтернативы!K25)</f>
        <v>5</v>
      </c>
      <c r="L4" s="9">
        <f>AVERAGE(Оценки_Альтернативы!L4,Оценки_Альтернативы!L11,Оценки_Альтернативы!L18,Оценки_Альтернативы!L25)</f>
        <v>7.25</v>
      </c>
      <c r="M4" s="9">
        <f>MAX(Оценки_Альтернативы!M4,Оценки_Альтернативы!M11,Оценки_Альтернативы!M18,Оценки_Альтернативы!M25)</f>
        <v>9</v>
      </c>
    </row>
    <row r="5" spans="1:13" ht="28.5" x14ac:dyDescent="0.25">
      <c r="A5" s="2" t="s">
        <v>19</v>
      </c>
      <c r="B5" s="9">
        <f>MIN(Оценки_Альтернативы!B5,Оценки_Альтернативы!B12,Оценки_Альтернативы!B19,Оценки_Альтернативы!B26)</f>
        <v>5</v>
      </c>
      <c r="C5" s="9">
        <f>AVERAGE(Оценки_Альтернативы!C5,Оценки_Альтернативы!C12,Оценки_Альтернативы!C19,Оценки_Альтернативы!C26)</f>
        <v>7.5</v>
      </c>
      <c r="D5" s="9">
        <f>MAX(Оценки_Альтернативы!D5,Оценки_Альтернативы!D12,Оценки_Альтернативы!D19,Оценки_Альтернативы!D26)</f>
        <v>9</v>
      </c>
      <c r="E5" s="9">
        <f>MIN(Оценки_Альтернативы!E5,Оценки_Альтернативы!E12,Оценки_Альтернативы!E19,Оценки_Альтернативы!E26)</f>
        <v>3</v>
      </c>
      <c r="F5" s="9">
        <f>AVERAGE(Оценки_Альтернативы!F5,Оценки_Альтернативы!F12,Оценки_Альтернативы!F19,Оценки_Альтернативы!F26)</f>
        <v>5.5</v>
      </c>
      <c r="G5" s="9">
        <f>MAX(Оценки_Альтернативы!G5,Оценки_Альтернативы!G12,Оценки_Альтернативы!G19,Оценки_Альтернативы!G26)</f>
        <v>7</v>
      </c>
      <c r="H5" s="9">
        <f>MIN(Оценки_Альтернативы!H5,Оценки_Альтернативы!H12,Оценки_Альтернативы!H19,Оценки_Альтернативы!H26)</f>
        <v>3</v>
      </c>
      <c r="I5" s="9">
        <f>AVERAGE(Оценки_Альтернативы!I5,Оценки_Альтернативы!I12,Оценки_Альтернативы!I19,Оценки_Альтернативы!I26)</f>
        <v>5.5</v>
      </c>
      <c r="J5" s="9">
        <f>MAX(Оценки_Альтернативы!J5,Оценки_Альтернативы!J12,Оценки_Альтернативы!J19,Оценки_Альтернативы!J26)</f>
        <v>7</v>
      </c>
      <c r="K5" s="9">
        <f>MIN(Оценки_Альтернативы!K5,Оценки_Альтернативы!K12,Оценки_Альтернативы!K19,Оценки_Альтернативы!K26)</f>
        <v>6</v>
      </c>
      <c r="L5" s="9">
        <f>AVERAGE(Оценки_Альтернативы!L5,Оценки_Альтернативы!L12,Оценки_Альтернативы!L19,Оценки_Альтернативы!L26)</f>
        <v>8.5</v>
      </c>
      <c r="M5" s="9">
        <f>MAX(Оценки_Альтернативы!M5,Оценки_Альтернативы!M12,Оценки_Альтернативы!M19,Оценки_Альтернативы!M26)</f>
        <v>10</v>
      </c>
    </row>
    <row r="6" spans="1:13" x14ac:dyDescent="0.25">
      <c r="A6" s="2" t="s">
        <v>20</v>
      </c>
      <c r="B6" s="9">
        <f>MIN(Оценки_Альтернативы!B6,Оценки_Альтернативы!B13,Оценки_Альтернативы!B20,Оценки_Альтернативы!B27)</f>
        <v>7</v>
      </c>
      <c r="C6" s="9">
        <f>AVERAGE(Оценки_Альтернативы!C6,Оценки_Альтернативы!C13,Оценки_Альтернативы!C20,Оценки_Альтернативы!C27)</f>
        <v>9</v>
      </c>
      <c r="D6" s="9">
        <f>MAX(Оценки_Альтернативы!D6,Оценки_Альтернативы!D13,Оценки_Альтернативы!D20,Оценки_Альтернативы!D27)</f>
        <v>10</v>
      </c>
      <c r="E6" s="9">
        <f>MIN(Оценки_Альтернативы!E6,Оценки_Альтернативы!E13,Оценки_Альтернативы!E20,Оценки_Альтернативы!E27)</f>
        <v>6</v>
      </c>
      <c r="F6" s="9">
        <f>AVERAGE(Оценки_Альтернативы!F6,Оценки_Альтернативы!F13,Оценки_Альтернативы!F20,Оценки_Альтернативы!F27)</f>
        <v>8.5</v>
      </c>
      <c r="G6" s="9">
        <f>MAX(Оценки_Альтернативы!G6,Оценки_Альтернативы!G13,Оценки_Альтернативы!G20,Оценки_Альтернативы!G27)</f>
        <v>10</v>
      </c>
      <c r="H6" s="9">
        <f>MIN(Оценки_Альтернативы!H6,Оценки_Альтернативы!H13,Оценки_Альтернативы!H20,Оценки_Альтернативы!H27)</f>
        <v>6</v>
      </c>
      <c r="I6" s="9">
        <f>AVERAGE(Оценки_Альтернативы!I6,Оценки_Альтернативы!I13,Оценки_Альтернативы!I20,Оценки_Альтернативы!I27)</f>
        <v>7.75</v>
      </c>
      <c r="J6" s="9">
        <f>MAX(Оценки_Альтернативы!J6,Оценки_Альтернативы!J13,Оценки_Альтернативы!J20,Оценки_Альтернативы!J27)</f>
        <v>9</v>
      </c>
      <c r="K6" s="9">
        <f>MIN(Оценки_Альтернативы!K6,Оценки_Альтернативы!K13,Оценки_Альтернативы!K20,Оценки_Альтернативы!K27)</f>
        <v>3</v>
      </c>
      <c r="L6" s="9">
        <f>AVERAGE(Оценки_Альтернативы!L6,Оценки_Альтернативы!L13,Оценки_Альтернативы!L20,Оценки_Альтернативы!L27)</f>
        <v>5.5</v>
      </c>
      <c r="M6" s="9">
        <f>MAX(Оценки_Альтернативы!M6,Оценки_Альтернативы!M13,Оценки_Альтернативы!M20,Оценки_Альтернативы!M27)</f>
        <v>7</v>
      </c>
    </row>
    <row r="8" spans="1:13" ht="60" x14ac:dyDescent="0.25">
      <c r="A8" s="4" t="s">
        <v>72</v>
      </c>
    </row>
    <row r="9" spans="1:13" x14ac:dyDescent="0.25">
      <c r="A9" s="1" t="s">
        <v>9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  <c r="M9" s="1" t="s">
        <v>84</v>
      </c>
    </row>
    <row r="10" spans="1:13" x14ac:dyDescent="0.25">
      <c r="A10" s="2" t="s">
        <v>17</v>
      </c>
      <c r="B10" s="5">
        <f t="shared" ref="B10:D13" si="0">B3/MAX($D$3:$D$6)</f>
        <v>0.6</v>
      </c>
      <c r="C10" s="5">
        <f t="shared" si="0"/>
        <v>0.82499999999999996</v>
      </c>
      <c r="D10" s="5">
        <f t="shared" si="0"/>
        <v>1</v>
      </c>
      <c r="E10" s="5">
        <f t="shared" ref="E10:G13" si="1">E3/MAX($G$3:$G$6)</f>
        <v>0.4</v>
      </c>
      <c r="F10" s="5">
        <f t="shared" si="1"/>
        <v>0.65</v>
      </c>
      <c r="G10" s="5">
        <f t="shared" si="1"/>
        <v>0.8</v>
      </c>
      <c r="H10" s="5">
        <f t="shared" ref="H10:J13" si="2">H3/MAX($J$3:$J$6)</f>
        <v>0.4</v>
      </c>
      <c r="I10" s="5">
        <f t="shared" si="2"/>
        <v>0.65</v>
      </c>
      <c r="J10" s="5">
        <f t="shared" si="2"/>
        <v>0.9</v>
      </c>
      <c r="K10" s="5">
        <f t="shared" ref="K10:M13" si="3">K3/MAX($M$3:$M$6)</f>
        <v>0.6</v>
      </c>
      <c r="L10" s="5">
        <f t="shared" si="3"/>
        <v>0.8</v>
      </c>
      <c r="M10" s="5">
        <f t="shared" si="3"/>
        <v>1</v>
      </c>
    </row>
    <row r="11" spans="1:13" x14ac:dyDescent="0.25">
      <c r="A11" s="2" t="s">
        <v>18</v>
      </c>
      <c r="B11" s="5">
        <f t="shared" si="0"/>
        <v>0.5</v>
      </c>
      <c r="C11" s="5">
        <f t="shared" si="0"/>
        <v>0.75</v>
      </c>
      <c r="D11" s="5">
        <f t="shared" si="0"/>
        <v>0.9</v>
      </c>
      <c r="E11" s="5">
        <f t="shared" si="1"/>
        <v>0.6</v>
      </c>
      <c r="F11" s="5">
        <f t="shared" si="1"/>
        <v>0.8</v>
      </c>
      <c r="G11" s="5">
        <f t="shared" si="1"/>
        <v>1</v>
      </c>
      <c r="H11" s="5">
        <f t="shared" si="2"/>
        <v>0.6</v>
      </c>
      <c r="I11" s="5">
        <f t="shared" si="2"/>
        <v>0.82499999999999996</v>
      </c>
      <c r="J11" s="5">
        <f t="shared" si="2"/>
        <v>1</v>
      </c>
      <c r="K11" s="5">
        <f t="shared" si="3"/>
        <v>0.5</v>
      </c>
      <c r="L11" s="5">
        <f t="shared" si="3"/>
        <v>0.72499999999999998</v>
      </c>
      <c r="M11" s="5">
        <f t="shared" si="3"/>
        <v>0.9</v>
      </c>
    </row>
    <row r="12" spans="1:13" ht="28.5" x14ac:dyDescent="0.25">
      <c r="A12" s="2" t="s">
        <v>19</v>
      </c>
      <c r="B12" s="5">
        <f t="shared" si="0"/>
        <v>0.5</v>
      </c>
      <c r="C12" s="5">
        <f t="shared" si="0"/>
        <v>0.75</v>
      </c>
      <c r="D12" s="5">
        <f t="shared" si="0"/>
        <v>0.9</v>
      </c>
      <c r="E12" s="5">
        <f t="shared" si="1"/>
        <v>0.3</v>
      </c>
      <c r="F12" s="5">
        <f t="shared" si="1"/>
        <v>0.55000000000000004</v>
      </c>
      <c r="G12" s="5">
        <f t="shared" si="1"/>
        <v>0.7</v>
      </c>
      <c r="H12" s="5">
        <f t="shared" si="2"/>
        <v>0.3</v>
      </c>
      <c r="I12" s="5">
        <f t="shared" si="2"/>
        <v>0.55000000000000004</v>
      </c>
      <c r="J12" s="5">
        <f t="shared" si="2"/>
        <v>0.7</v>
      </c>
      <c r="K12" s="5">
        <f t="shared" si="3"/>
        <v>0.6</v>
      </c>
      <c r="L12" s="5">
        <f t="shared" si="3"/>
        <v>0.85</v>
      </c>
      <c r="M12" s="5">
        <f t="shared" si="3"/>
        <v>1</v>
      </c>
    </row>
    <row r="13" spans="1:13" x14ac:dyDescent="0.25">
      <c r="A13" s="2" t="s">
        <v>20</v>
      </c>
      <c r="B13" s="5">
        <f t="shared" si="0"/>
        <v>0.7</v>
      </c>
      <c r="C13" s="5">
        <f t="shared" si="0"/>
        <v>0.9</v>
      </c>
      <c r="D13" s="5">
        <f t="shared" si="0"/>
        <v>1</v>
      </c>
      <c r="E13" s="5">
        <f t="shared" si="1"/>
        <v>0.6</v>
      </c>
      <c r="F13" s="5">
        <f t="shared" si="1"/>
        <v>0.85</v>
      </c>
      <c r="G13" s="5">
        <f t="shared" si="1"/>
        <v>1</v>
      </c>
      <c r="H13" s="5">
        <f t="shared" si="2"/>
        <v>0.6</v>
      </c>
      <c r="I13" s="5">
        <f t="shared" si="2"/>
        <v>0.77500000000000002</v>
      </c>
      <c r="J13" s="5">
        <f t="shared" si="2"/>
        <v>0.9</v>
      </c>
      <c r="K13" s="5">
        <f t="shared" si="3"/>
        <v>0.3</v>
      </c>
      <c r="L13" s="5">
        <f t="shared" si="3"/>
        <v>0.55000000000000004</v>
      </c>
      <c r="M13" s="5">
        <f t="shared" si="3"/>
        <v>0.7</v>
      </c>
    </row>
    <row r="15" spans="1:13" ht="60" x14ac:dyDescent="0.25">
      <c r="A15" s="4" t="s">
        <v>85</v>
      </c>
    </row>
    <row r="16" spans="1:13" x14ac:dyDescent="0.25">
      <c r="A16" s="1" t="s">
        <v>9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94</v>
      </c>
      <c r="K16" s="1" t="s">
        <v>95</v>
      </c>
      <c r="L16" s="1" t="s">
        <v>96</v>
      </c>
      <c r="M16" s="1" t="s">
        <v>97</v>
      </c>
    </row>
    <row r="17" spans="1:13" x14ac:dyDescent="0.25">
      <c r="A17" s="2" t="s">
        <v>17</v>
      </c>
      <c r="B17" s="5">
        <f>B10*Критерии_agg!$G$2</f>
        <v>0.36</v>
      </c>
      <c r="C17" s="5">
        <f>C10*Критерии_agg!$H$2</f>
        <v>0.70124999999999993</v>
      </c>
      <c r="D17" s="5">
        <f>D10*Критерии_agg!$I$2</f>
        <v>1</v>
      </c>
      <c r="E17" s="5">
        <f>E10*Критерии_agg!$G$3</f>
        <v>0.16000000000000003</v>
      </c>
      <c r="F17" s="5">
        <f>F10*Критерии_agg!$H$3</f>
        <v>0.42250000000000004</v>
      </c>
      <c r="G17" s="5">
        <f>G10*Критерии_agg!$I$3</f>
        <v>0.72000000000000008</v>
      </c>
      <c r="H17" s="5">
        <f>H10*Критерии_agg!$G$4</f>
        <v>0.16000000000000003</v>
      </c>
      <c r="I17" s="5">
        <f>I10*Критерии_agg!$H$4</f>
        <v>0.42250000000000004</v>
      </c>
      <c r="J17" s="5">
        <f>J10*Критерии_agg!$I$4</f>
        <v>0.81</v>
      </c>
      <c r="K17" s="5">
        <f>K10*Критерии_agg!$G$5</f>
        <v>0.36</v>
      </c>
      <c r="L17" s="5">
        <f>L10*Критерии_agg!$H$5</f>
        <v>0.68</v>
      </c>
      <c r="M17" s="5">
        <f>M10*Критерии_agg!$I$5</f>
        <v>1</v>
      </c>
    </row>
    <row r="18" spans="1:13" x14ac:dyDescent="0.25">
      <c r="A18" s="2" t="s">
        <v>18</v>
      </c>
      <c r="B18" s="5">
        <f>B11*Критерии_agg!$G$2</f>
        <v>0.3</v>
      </c>
      <c r="C18" s="5">
        <f>C11*Критерии_agg!$H$2</f>
        <v>0.63749999999999996</v>
      </c>
      <c r="D18" s="5">
        <f>D11*Критерии_agg!$I$2</f>
        <v>0.9</v>
      </c>
      <c r="E18" s="5">
        <f>E11*Критерии_agg!$G$3</f>
        <v>0.24</v>
      </c>
      <c r="F18" s="5">
        <f>F11*Критерии_agg!$H$3</f>
        <v>0.52</v>
      </c>
      <c r="G18" s="5">
        <f>G11*Критерии_agg!$I$3</f>
        <v>0.9</v>
      </c>
      <c r="H18" s="5">
        <f>H11*Критерии_agg!$G$4</f>
        <v>0.24</v>
      </c>
      <c r="I18" s="5">
        <f>I11*Критерии_agg!$H$4</f>
        <v>0.53625</v>
      </c>
      <c r="J18" s="5">
        <f>J11*Критерии_agg!$I$4</f>
        <v>0.9</v>
      </c>
      <c r="K18" s="5">
        <f>K11*Критерии_agg!$G$5</f>
        <v>0.3</v>
      </c>
      <c r="L18" s="5">
        <f>L11*Критерии_agg!$H$5</f>
        <v>0.61624999999999996</v>
      </c>
      <c r="M18" s="5">
        <f>M11*Критерии_agg!$I$5</f>
        <v>0.9</v>
      </c>
    </row>
    <row r="19" spans="1:13" ht="28.5" x14ac:dyDescent="0.25">
      <c r="A19" s="2" t="s">
        <v>19</v>
      </c>
      <c r="B19" s="5">
        <f>B12*Критерии_agg!$G$2</f>
        <v>0.3</v>
      </c>
      <c r="C19" s="5">
        <f>C12*Критерии_agg!$H$2</f>
        <v>0.63749999999999996</v>
      </c>
      <c r="D19" s="5">
        <f>D12*Критерии_agg!$I$2</f>
        <v>0.9</v>
      </c>
      <c r="E19" s="5">
        <f>E12*Критерии_agg!$G$3</f>
        <v>0.12</v>
      </c>
      <c r="F19" s="5">
        <f>F12*Критерии_agg!$H$3</f>
        <v>0.35750000000000004</v>
      </c>
      <c r="G19" s="5">
        <f>G12*Критерии_agg!$I$3</f>
        <v>0.63</v>
      </c>
      <c r="H19" s="5">
        <f>H12*Критерии_agg!$G$4</f>
        <v>0.12</v>
      </c>
      <c r="I19" s="5">
        <f>I12*Критерии_agg!$H$4</f>
        <v>0.35750000000000004</v>
      </c>
      <c r="J19" s="5">
        <f>J12*Критерии_agg!$I$4</f>
        <v>0.63</v>
      </c>
      <c r="K19" s="5">
        <f>K12*Критерии_agg!$G$5</f>
        <v>0.36</v>
      </c>
      <c r="L19" s="5">
        <f>L12*Критерии_agg!$H$5</f>
        <v>0.72249999999999992</v>
      </c>
      <c r="M19" s="5">
        <f>M12*Критерии_agg!$I$5</f>
        <v>1</v>
      </c>
    </row>
    <row r="20" spans="1:13" x14ac:dyDescent="0.25">
      <c r="A20" s="2" t="s">
        <v>20</v>
      </c>
      <c r="B20" s="5">
        <f>B13*Критерии_agg!$G$2</f>
        <v>0.42</v>
      </c>
      <c r="C20" s="5">
        <f>C13*Критерии_agg!$H$2</f>
        <v>0.76500000000000001</v>
      </c>
      <c r="D20" s="5">
        <f>D13*Критерии_agg!$I$2</f>
        <v>1</v>
      </c>
      <c r="E20" s="5">
        <f>E13*Критерии_agg!$G$3</f>
        <v>0.24</v>
      </c>
      <c r="F20" s="5">
        <f>F13*Критерии_agg!$H$3</f>
        <v>0.55249999999999999</v>
      </c>
      <c r="G20" s="5">
        <f>G13*Критерии_agg!$I$3</f>
        <v>0.9</v>
      </c>
      <c r="H20" s="5">
        <f>H13*Критерии_agg!$G$4</f>
        <v>0.24</v>
      </c>
      <c r="I20" s="5">
        <f>I13*Критерии_agg!$H$4</f>
        <v>0.50375000000000003</v>
      </c>
      <c r="J20" s="5">
        <f>J13*Критерии_agg!$I$4</f>
        <v>0.81</v>
      </c>
      <c r="K20" s="5">
        <f>K13*Критерии_agg!$G$5</f>
        <v>0.18</v>
      </c>
      <c r="L20" s="5">
        <f>L13*Критерии_agg!$H$5</f>
        <v>0.46750000000000003</v>
      </c>
      <c r="M20" s="5">
        <f>M13*Критерии_agg!$I$5</f>
        <v>0.7</v>
      </c>
    </row>
    <row r="22" spans="1:13" ht="45" customHeight="1" x14ac:dyDescent="0.25">
      <c r="A22" s="12" t="s">
        <v>141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x14ac:dyDescent="0.25">
      <c r="A23" s="4" t="s">
        <v>98</v>
      </c>
      <c r="B23" s="5">
        <f>MIN(B10:B13)</f>
        <v>0.5</v>
      </c>
      <c r="E23" s="5">
        <f>MIN(E10:E13)</f>
        <v>0.3</v>
      </c>
      <c r="H23" s="5">
        <f>MIN(H10:H13)</f>
        <v>0.3</v>
      </c>
      <c r="K23" s="5">
        <f>MIN(K10:K13)</f>
        <v>0.3</v>
      </c>
    </row>
    <row r="24" spans="1:13" x14ac:dyDescent="0.25">
      <c r="A24" s="1"/>
    </row>
    <row r="25" spans="1:13" x14ac:dyDescent="0.25">
      <c r="A25" s="4" t="s">
        <v>99</v>
      </c>
      <c r="B25" s="5">
        <f>1*Критерии_agg!$G$2</f>
        <v>0.6</v>
      </c>
      <c r="C25" s="5">
        <f>1*Критерии_agg!$H$2</f>
        <v>0.85</v>
      </c>
      <c r="D25" s="5">
        <f>1*Критерии_agg!$I$2</f>
        <v>1</v>
      </c>
      <c r="E25" s="5">
        <f>1*Критерии_agg!$G$3</f>
        <v>0.4</v>
      </c>
      <c r="F25" s="5">
        <f>1*Критерии_agg!$H$3</f>
        <v>0.65</v>
      </c>
      <c r="G25" s="5">
        <f>1*Критерии_agg!$I$3</f>
        <v>0.9</v>
      </c>
      <c r="H25" s="5">
        <f>1*Критерии_agg!$G$4</f>
        <v>0.4</v>
      </c>
      <c r="I25" s="5">
        <f>1*Критерии_agg!$H$4</f>
        <v>0.65</v>
      </c>
      <c r="J25" s="5">
        <f>1*Критерии_agg!$I$4</f>
        <v>0.9</v>
      </c>
      <c r="K25" s="5">
        <f>1*Критерии_agg!$G$5</f>
        <v>0.6</v>
      </c>
      <c r="L25" s="5">
        <f>1*Критерии_agg!$H$5</f>
        <v>0.85</v>
      </c>
      <c r="M25" s="5">
        <f>1*Критерии_agg!$I$5</f>
        <v>1</v>
      </c>
    </row>
    <row r="26" spans="1:13" x14ac:dyDescent="0.25">
      <c r="A26" s="4" t="s">
        <v>100</v>
      </c>
      <c r="B26" s="5">
        <f>$B$23*Критерии_agg!$G$2</f>
        <v>0.3</v>
      </c>
      <c r="C26" s="5">
        <f>$B$23*Критерии_agg!$H$2</f>
        <v>0.42499999999999999</v>
      </c>
      <c r="D26" s="5">
        <f>$B$23*Критерии_agg!$I$2</f>
        <v>0.5</v>
      </c>
      <c r="E26" s="5">
        <f>$E$23*Критерии_agg!$G$3</f>
        <v>0.12</v>
      </c>
      <c r="F26" s="5">
        <f>$E$23*Критерии_agg!$H$3</f>
        <v>0.19500000000000001</v>
      </c>
      <c r="G26" s="5">
        <f>$E$23*Критерии_agg!$I$3</f>
        <v>0.27</v>
      </c>
      <c r="H26" s="5">
        <f>$H$23*Критерии_agg!$G$4</f>
        <v>0.12</v>
      </c>
      <c r="I26" s="5">
        <f>$H$23*Критерии_agg!$H$4</f>
        <v>0.19500000000000001</v>
      </c>
      <c r="J26" s="5">
        <f>$H$23*Критерии_agg!$I$4</f>
        <v>0.27</v>
      </c>
      <c r="K26" s="5">
        <f>$K$23*Критерии_agg!$G$5</f>
        <v>0.18</v>
      </c>
      <c r="L26" s="5">
        <f>$K$23*Критерии_agg!$H$5</f>
        <v>0.255</v>
      </c>
      <c r="M26" s="5">
        <f>$K$23*Критерии_agg!$I$5</f>
        <v>0.3</v>
      </c>
    </row>
    <row r="28" spans="1:13" ht="30" x14ac:dyDescent="0.25">
      <c r="A28" s="4" t="s">
        <v>142</v>
      </c>
    </row>
    <row r="29" spans="1:13" ht="30" x14ac:dyDescent="0.25">
      <c r="A29" s="1" t="s">
        <v>9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1" t="s">
        <v>106</v>
      </c>
      <c r="H29" s="1" t="s">
        <v>107</v>
      </c>
      <c r="I29" s="1" t="s">
        <v>108</v>
      </c>
      <c r="J29" s="1" t="s">
        <v>109</v>
      </c>
      <c r="K29" s="1" t="s">
        <v>110</v>
      </c>
      <c r="L29" s="1" t="s">
        <v>111</v>
      </c>
      <c r="M29" s="1" t="s">
        <v>112</v>
      </c>
    </row>
    <row r="30" spans="1:13" x14ac:dyDescent="0.25">
      <c r="A30" s="2" t="s">
        <v>17</v>
      </c>
      <c r="B30" s="5">
        <f>SQRT(((B17-B$25)^2+(C17-C$25)^2+(D17-D$25)^2)/3)</f>
        <v>0.16302000132908029</v>
      </c>
      <c r="C30" s="5">
        <f>SQRT(((E17-E$25)^2+(F17-F$25)^2+(G17-G$25)^2)/3)</f>
        <v>0.2173754432619594</v>
      </c>
      <c r="D30" s="5">
        <f>SQRT(((H17-H$25)^2+(I17-I$25)^2+(J17-J$25)^2)/3)</f>
        <v>0.19786885387380534</v>
      </c>
      <c r="E30" s="5">
        <f>SQRT(((K17-K$25)^2+(L17-L$25)^2+(M17-M$25)^2)/3)</f>
        <v>0.1698038083593337</v>
      </c>
      <c r="F30" s="6">
        <f>SUM(B30:E30)</f>
        <v>0.74806810682417879</v>
      </c>
      <c r="G30" s="5">
        <f>SQRT(((B17-B$26)^2+(C17-C$26)^2+(D17-D$26)^2)/3)</f>
        <v>0.33161929100501175</v>
      </c>
      <c r="H30" s="5">
        <f>SQRT(((E17-E$26)^2+(F17-F$26)^2+(G17-G$26)^2)/3)</f>
        <v>0.29203667007187079</v>
      </c>
      <c r="I30" s="5">
        <f>SQRT(((H17-H$26)^2+(I17-I$26)^2+(J17-J$26)^2)/3)</f>
        <v>0.33909499652260677</v>
      </c>
      <c r="J30" s="5">
        <f>SQRT(((K17-K$26)^2+(L17-L$26)^2+(M17-M$26)^2)/3)</f>
        <v>0.48408849053315312</v>
      </c>
      <c r="K30" s="6">
        <f>SUM(G30:J30)</f>
        <v>1.4468394481326425</v>
      </c>
      <c r="L30" s="6">
        <f>K30/(F30+K30)</f>
        <v>0.65918013032722234</v>
      </c>
      <c r="M30" s="4">
        <f>RANK(L30,$L$30:$L$33)</f>
        <v>2</v>
      </c>
    </row>
    <row r="31" spans="1:13" x14ac:dyDescent="0.25">
      <c r="A31" s="2" t="s">
        <v>18</v>
      </c>
      <c r="B31" s="5">
        <f>SQRT(((B18-B$25)^2+(C18-C$25)^2+(D18-D$25)^2)/3)</f>
        <v>0.21996685356359186</v>
      </c>
      <c r="C31" s="5">
        <f>SQRT(((E18-E$25)^2+(F18-F$25)^2+(G18-G$25)^2)/3)</f>
        <v>0.11902380714238084</v>
      </c>
      <c r="D31" s="5">
        <f>SQRT(((H18-H$25)^2+(I18-I$25)^2+(J18-J$25)^2)/3)</f>
        <v>0.11334175826528663</v>
      </c>
      <c r="E31" s="5">
        <f>SQRT(((K18-K$25)^2+(L18-L$25)^2+(M18-M$25)^2)/3)</f>
        <v>0.22703822181885291</v>
      </c>
      <c r="F31" s="6">
        <f>SUM(B31:E31)</f>
        <v>0.67937064079011233</v>
      </c>
      <c r="G31" s="5">
        <f>SQRT(((B18-B$26)^2+(C18-C$26)^2+(D18-D$26)^2)/3)</f>
        <v>0.26150605474188676</v>
      </c>
      <c r="H31" s="5">
        <f>SQRT(((E18-E$26)^2+(F18-F$26)^2+(G18-G$26)^2)/3)</f>
        <v>0.41510038946420341</v>
      </c>
      <c r="I31" s="5">
        <f>SQRT(((H18-H$26)^2+(I18-I$26)^2+(J18-J$26)^2)/3)</f>
        <v>0.41942482937947295</v>
      </c>
      <c r="J31" s="5">
        <f>SQRT(((K18-K$26)^2+(L18-L$26)^2+(M18-M$26)^2)/3)</f>
        <v>0.4102444647199196</v>
      </c>
      <c r="K31" s="6">
        <f>SUM(G31:J31)</f>
        <v>1.5062757383054826</v>
      </c>
      <c r="L31" s="6">
        <f>K31/(F31+K31)</f>
        <v>0.68916717393632942</v>
      </c>
      <c r="M31" s="4">
        <f>RANK(L31,$L$30:$L$33)</f>
        <v>1</v>
      </c>
    </row>
    <row r="32" spans="1:13" ht="28.5" x14ac:dyDescent="0.25">
      <c r="A32" s="2" t="s">
        <v>19</v>
      </c>
      <c r="B32" s="5">
        <f>SQRT(((B19-B$25)^2+(C19-C$25)^2+(D19-D$25)^2)/3)</f>
        <v>0.21996685356359186</v>
      </c>
      <c r="C32" s="5">
        <f>SQRT(((E19-E$25)^2+(F19-F$25)^2+(G19-G$25)^2)/3)</f>
        <v>0.28098413359713625</v>
      </c>
      <c r="D32" s="5">
        <f>SQRT(((H19-H$25)^2+(I19-I$25)^2+(J19-J$25)^2)/3)</f>
        <v>0.28098413359713625</v>
      </c>
      <c r="E32" s="5">
        <f>SQRT(((K19-K$25)^2+(L19-L$25)^2+(M19-M$25)^2)/3)</f>
        <v>0.15690363284513206</v>
      </c>
      <c r="F32" s="6">
        <f>SUM(B32:E32)</f>
        <v>0.9388387536029964</v>
      </c>
      <c r="G32" s="5">
        <f>SQRT(((B19-B$26)^2+(C19-C$26)^2+(D19-D$26)^2)/3)</f>
        <v>0.26150605474188676</v>
      </c>
      <c r="H32" s="5">
        <f>SQRT(((E19-E$26)^2+(F19-F$26)^2+(G19-G$26)^2)/3)</f>
        <v>0.22803965298459244</v>
      </c>
      <c r="I32" s="5">
        <f>SQRT(((H19-H$26)^2+(I19-I$26)^2+(J19-J$26)^2)/3)</f>
        <v>0.22803965298459244</v>
      </c>
      <c r="J32" s="5">
        <f>SQRT(((K19-K$26)^2+(L19-L$26)^2+(M19-M$26)^2)/3)</f>
        <v>0.49697627374620873</v>
      </c>
      <c r="K32" s="6">
        <f>SUM(G32:J32)</f>
        <v>1.2145616344572803</v>
      </c>
      <c r="L32" s="6">
        <f>K32/(F32+K32)</f>
        <v>0.56402034716420002</v>
      </c>
      <c r="M32" s="4">
        <f>RANK(L32,$L$30:$L$33)</f>
        <v>4</v>
      </c>
    </row>
    <row r="33" spans="1:13" x14ac:dyDescent="0.25">
      <c r="A33" s="2" t="s">
        <v>20</v>
      </c>
      <c r="B33" s="5">
        <f>SQRT(((B20-B$25)^2+(C20-C$25)^2+(D20-D$25)^2)/3)</f>
        <v>0.11492751338706207</v>
      </c>
      <c r="C33" s="5">
        <f>SQRT(((E20-E$25)^2+(F20-F$25)^2+(G20-G$25)^2)/3)</f>
        <v>0.10817616804700257</v>
      </c>
      <c r="D33" s="5">
        <f>SQRT(((H20-H$25)^2+(I20-I$25)^2+(J20-J$25)^2)/3)</f>
        <v>0.13551022409151767</v>
      </c>
      <c r="E33" s="5">
        <f>SQRT(((K20-K$25)^2+(L20-L$25)^2+(M20-M$25)^2)/3)</f>
        <v>0.37090261525095775</v>
      </c>
      <c r="F33" s="6">
        <f>SUM(B33:E33)</f>
        <v>0.72951652077654006</v>
      </c>
      <c r="G33" s="5">
        <f>SQRT(((B20-B$26)^2+(C20-C$26)^2+(D20-D$26)^2)/3)</f>
        <v>0.35590260840104371</v>
      </c>
      <c r="H33" s="5">
        <f>SQRT(((E20-E$26)^2+(F20-F$26)^2+(G20-G$26)^2)/3)</f>
        <v>0.42391282515787765</v>
      </c>
      <c r="I33" s="5">
        <f>SQRT(((H20-H$26)^2+(I20-I$26)^2+(J20-J$26)^2)/3)</f>
        <v>0.36575336065897379</v>
      </c>
      <c r="J33" s="5">
        <f>SQRT(((K20-K$26)^2+(L20-L$26)^2+(M20-M$26)^2)/3)</f>
        <v>0.26150605474188671</v>
      </c>
      <c r="K33" s="6">
        <f>SUM(G33:J33)</f>
        <v>1.4070748489597817</v>
      </c>
      <c r="L33" s="6">
        <f>K33/(F33+K33)</f>
        <v>0.65856057872845841</v>
      </c>
      <c r="M33" s="4">
        <f>RANK(L33,$L$30:$L$33)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"/>
  <sheetViews>
    <sheetView zoomScaleNormal="100" workbookViewId="0">
      <selection activeCell="A2" sqref="A1:XFD2"/>
    </sheetView>
  </sheetViews>
  <sheetFormatPr defaultColWidth="8.7109375" defaultRowHeight="15" x14ac:dyDescent="0.25"/>
  <cols>
    <col min="1" max="1" width="40" customWidth="1"/>
    <col min="2" max="11" width="13" customWidth="1"/>
  </cols>
  <sheetData>
    <row r="1" spans="1:5" ht="30" x14ac:dyDescent="0.25">
      <c r="A1" s="4" t="s">
        <v>113</v>
      </c>
    </row>
    <row r="2" spans="1:5" x14ac:dyDescent="0.25">
      <c r="A2" s="4" t="s">
        <v>114</v>
      </c>
      <c r="B2" s="1" t="s">
        <v>115</v>
      </c>
      <c r="C2" s="1" t="s">
        <v>116</v>
      </c>
      <c r="D2" s="1" t="s">
        <v>117</v>
      </c>
      <c r="E2" s="1" t="s">
        <v>118</v>
      </c>
    </row>
    <row r="3" spans="1:5" x14ac:dyDescent="0.25">
      <c r="A3" s="2" t="s">
        <v>36</v>
      </c>
      <c r="B3" s="10">
        <f>IF(Оценки_Критерии!$C$2&gt;=Оценки_Критерии!$C$2,MIN(9,1+Оценки_Критерии!$C$2-Оценки_Критерии!$C$2),1/MIN(9,1+Оценки_Критерии!$C$2-Оценки_Критерии!$C$2))</f>
        <v>1</v>
      </c>
      <c r="C3" s="10">
        <f>IF(Оценки_Критерии!$C$2&gt;=Оценки_Критерии!$C$3,MIN(9,1+Оценки_Критерии!$C$2-Оценки_Критерии!$C$3),1/MIN(9,1+Оценки_Критерии!$C$3-Оценки_Критерии!$C$2))</f>
        <v>3</v>
      </c>
      <c r="D3" s="10">
        <f>IF(Оценки_Критерии!$C$2&gt;=Оценки_Критерии!$C$4,MIN(9,1+Оценки_Критерии!$C$2-Оценки_Критерии!$C$4),1/MIN(9,1+Оценки_Критерии!$C$4-Оценки_Критерии!$C$2))</f>
        <v>3</v>
      </c>
      <c r="E3" s="10">
        <f>IF(Оценки_Критерии!$C$2&gt;=Оценки_Критерии!$C$5,MIN(9,1+Оценки_Критерии!$C$2-Оценки_Критерии!$C$5),1/MIN(9,1+Оценки_Критерии!$C$5-Оценки_Критерии!$C$2))</f>
        <v>2</v>
      </c>
    </row>
    <row r="4" spans="1:5" x14ac:dyDescent="0.25">
      <c r="A4" s="2" t="s">
        <v>37</v>
      </c>
      <c r="B4" s="10">
        <f>IF(Оценки_Критерии!$C$3&gt;=Оценки_Критерии!$C$2,MIN(9,1+Оценки_Критерии!$C$3-Оценки_Критерии!$C$2),1/MIN(9,1+Оценки_Критерии!$C$2-Оценки_Критерии!$C$3))</f>
        <v>0.33333333333333331</v>
      </c>
      <c r="C4" s="10">
        <f>IF(Оценки_Критерии!$C$3&gt;=Оценки_Критерии!$C$3,MIN(9,1+Оценки_Критерии!$C$3-Оценки_Критерии!$C$3),1/MIN(9,1+Оценки_Критерии!$C$3-Оценки_Критерии!$C$3))</f>
        <v>1</v>
      </c>
      <c r="D4" s="10">
        <f>IF(Оценки_Критерии!$C$3&gt;=Оценки_Критерии!$C$4,MIN(9,1+Оценки_Критерии!$C$3-Оценки_Критерии!$C$4),1/MIN(9,1+Оценки_Критерии!$C$4-Оценки_Критерии!$C$3))</f>
        <v>1</v>
      </c>
      <c r="E4" s="10">
        <f>IF(Оценки_Критерии!$C$3&gt;=Оценки_Критерии!$C$5,MIN(9,1+Оценки_Критерии!$C$3-Оценки_Критерии!$C$5),1/MIN(9,1+Оценки_Критерии!$C$5-Оценки_Критерии!$C$3))</f>
        <v>0.5</v>
      </c>
    </row>
    <row r="5" spans="1:5" x14ac:dyDescent="0.25">
      <c r="A5" s="2" t="s">
        <v>38</v>
      </c>
      <c r="B5" s="10">
        <f>IF(Оценки_Критерии!$C$4&gt;=Оценки_Критерии!$C$2,MIN(9,1+Оценки_Критерии!$C$4-Оценки_Критерии!$C$2),1/MIN(9,1+Оценки_Критерии!$C$2-Оценки_Критерии!$C$4))</f>
        <v>0.33333333333333331</v>
      </c>
      <c r="C5" s="10">
        <f>IF(Оценки_Критерии!$C$4&gt;=Оценки_Критерии!$C$3,MIN(9,1+Оценки_Критерии!$C$4-Оценки_Критерии!$C$3),1/MIN(9,1+Оценки_Критерии!$C$3-Оценки_Критерии!$C$4))</f>
        <v>1</v>
      </c>
      <c r="D5" s="10">
        <f>IF(Оценки_Критерии!$C$4&gt;=Оценки_Критерии!$C$4,MIN(9,1+Оценки_Критерии!$C$4-Оценки_Критерии!$C$4),1/MIN(9,1+Оценки_Критерии!$C$4-Оценки_Критерии!$C$4))</f>
        <v>1</v>
      </c>
      <c r="E5" s="10">
        <f>IF(Оценки_Критерии!$C$4&gt;=Оценки_Критерии!$C$5,MIN(9,1+Оценки_Критерии!$C$4-Оценки_Критерии!$C$5),1/MIN(9,1+Оценки_Критерии!$C$5-Оценки_Критерии!$C$4))</f>
        <v>0.5</v>
      </c>
    </row>
    <row r="6" spans="1:5" x14ac:dyDescent="0.25">
      <c r="A6" s="2" t="s">
        <v>39</v>
      </c>
      <c r="B6" s="10">
        <f>IF(Оценки_Критерии!$C$5&gt;=Оценки_Критерии!$C$2,MIN(9,1+Оценки_Критерии!$C$5-Оценки_Критерии!$C$2),1/MIN(9,1+Оценки_Критерии!$C$2-Оценки_Критерии!$C$5))</f>
        <v>0.5</v>
      </c>
      <c r="C6" s="10">
        <f>IF(Оценки_Критерии!$C$5&gt;=Оценки_Критерии!$C$3,MIN(9,1+Оценки_Критерии!$C$5-Оценки_Критерии!$C$3),1/MIN(9,1+Оценки_Критерии!$C$3-Оценки_Критерии!$C$5))</f>
        <v>2</v>
      </c>
      <c r="D6" s="10">
        <f>IF(Оценки_Критерии!$C$5&gt;=Оценки_Критерии!$C$4,MIN(9,1+Оценки_Критерии!$C$5-Оценки_Критерии!$C$4),1/MIN(9,1+Оценки_Критерии!$C$4-Оценки_Критерии!$C$5))</f>
        <v>2</v>
      </c>
      <c r="E6" s="10">
        <f>IF(Оценки_Критерии!$C$5&gt;=Оценки_Критерии!$C$5,MIN(9,1+Оценки_Критерии!$C$5-Оценки_Критерии!$C$5),1/MIN(9,1+Оценки_Критерии!$C$5-Оценки_Критерии!$C$5))</f>
        <v>1</v>
      </c>
    </row>
    <row r="8" spans="1:5" x14ac:dyDescent="0.25">
      <c r="A8" s="4" t="s">
        <v>119</v>
      </c>
      <c r="B8" s="1" t="s">
        <v>115</v>
      </c>
      <c r="C8" s="1" t="s">
        <v>116</v>
      </c>
      <c r="D8" s="1" t="s">
        <v>117</v>
      </c>
      <c r="E8" s="1" t="s">
        <v>118</v>
      </c>
    </row>
    <row r="9" spans="1:5" x14ac:dyDescent="0.25">
      <c r="A9" s="2" t="s">
        <v>36</v>
      </c>
      <c r="B9" s="10">
        <f>IF(Оценки_Критерии!$F$2&gt;=Оценки_Критерии!$F$2,MIN(9,1+Оценки_Критерии!$F$2-Оценки_Критерии!$F$2),1/MIN(9,1+Оценки_Критерии!$F$2-Оценки_Критерии!$F$2))</f>
        <v>1</v>
      </c>
      <c r="C9" s="10">
        <f>IF(Оценки_Критерии!$F$2&gt;=Оценки_Критерии!$F$3,MIN(9,1+Оценки_Критерии!$F$2-Оценки_Критерии!$F$3),1/MIN(9,1+Оценки_Критерии!$F$3-Оценки_Критерии!$F$2))</f>
        <v>3</v>
      </c>
      <c r="D9" s="10">
        <f>IF(Оценки_Критерии!$F$2&gt;=Оценки_Критерии!$F$4,MIN(9,1+Оценки_Критерии!$F$2-Оценки_Критерии!$F$4),1/MIN(9,1+Оценки_Критерии!$F$4-Оценки_Критерии!$F$2))</f>
        <v>3</v>
      </c>
      <c r="E9" s="10">
        <f>IF(Оценки_Критерии!$F$2&gt;=Оценки_Критерии!$F$5,MIN(9,1+Оценки_Критерии!$F$2-Оценки_Критерии!$F$5),1/MIN(9,1+Оценки_Критерии!$F$5-Оценки_Критерии!$F$2))</f>
        <v>0.5</v>
      </c>
    </row>
    <row r="10" spans="1:5" x14ac:dyDescent="0.25">
      <c r="A10" s="2" t="s">
        <v>37</v>
      </c>
      <c r="B10" s="10">
        <f>IF(Оценки_Критерии!$F$3&gt;=Оценки_Критерии!$F$2,MIN(9,1+Оценки_Критерии!$F$3-Оценки_Критерии!$F$2),1/MIN(9,1+Оценки_Критерии!$F$2-Оценки_Критерии!$F$3))</f>
        <v>0.33333333333333331</v>
      </c>
      <c r="C10" s="10">
        <f>IF(Оценки_Критерии!$F$3&gt;=Оценки_Критерии!$F$3,MIN(9,1+Оценки_Критерии!$F$3-Оценки_Критерии!$F$3),1/MIN(9,1+Оценки_Критерии!$F$3-Оценки_Критерии!$F$3))</f>
        <v>1</v>
      </c>
      <c r="D10" s="10">
        <f>IF(Оценки_Критерии!$F$3&gt;=Оценки_Критерии!$F$4,MIN(9,1+Оценки_Критерии!$F$3-Оценки_Критерии!$F$4),1/MIN(9,1+Оценки_Критерии!$F$4-Оценки_Критерии!$F$3))</f>
        <v>1</v>
      </c>
      <c r="E10" s="10">
        <f>IF(Оценки_Критерии!$F$3&gt;=Оценки_Критерии!$F$5,MIN(9,1+Оценки_Критерии!$F$3-Оценки_Критерии!$F$5),1/MIN(9,1+Оценки_Критерии!$F$5-Оценки_Критерии!$F$3))</f>
        <v>0.25</v>
      </c>
    </row>
    <row r="11" spans="1:5" x14ac:dyDescent="0.25">
      <c r="A11" s="2" t="s">
        <v>38</v>
      </c>
      <c r="B11" s="10">
        <f>IF(Оценки_Критерии!$F$4&gt;=Оценки_Критерии!$F$2,MIN(9,1+Оценки_Критерии!$F$4-Оценки_Критерии!$F$2),1/MIN(9,1+Оценки_Критерии!$F$2-Оценки_Критерии!$F$4))</f>
        <v>0.33333333333333331</v>
      </c>
      <c r="C11" s="10">
        <f>IF(Оценки_Критерии!$F$4&gt;=Оценки_Критерии!$F$3,MIN(9,1+Оценки_Критерии!$F$4-Оценки_Критерии!$F$3),1/MIN(9,1+Оценки_Критерии!$F$3-Оценки_Критерии!$F$4))</f>
        <v>1</v>
      </c>
      <c r="D11" s="10">
        <f>IF(Оценки_Критерии!$F$4&gt;=Оценки_Критерии!$F$4,MIN(9,1+Оценки_Критерии!$F$4-Оценки_Критерии!$F$4),1/MIN(9,1+Оценки_Критерии!$F$4-Оценки_Критерии!$F$4))</f>
        <v>1</v>
      </c>
      <c r="E11" s="10">
        <f>IF(Оценки_Критерии!$F$4&gt;=Оценки_Критерии!$F$5,MIN(9,1+Оценки_Критерии!$F$4-Оценки_Критерии!$F$5),1/MIN(9,1+Оценки_Критерии!$F$5-Оценки_Критерии!$F$4))</f>
        <v>0.25</v>
      </c>
    </row>
    <row r="12" spans="1:5" x14ac:dyDescent="0.25">
      <c r="A12" s="2" t="s">
        <v>39</v>
      </c>
      <c r="B12" s="10">
        <f>IF(Оценки_Критерии!$F$5&gt;=Оценки_Критерии!$F$2,MIN(9,1+Оценки_Критерии!$F$5-Оценки_Критерии!$F$2),1/MIN(9,1+Оценки_Критерии!$F$2-Оценки_Критерии!$F$5))</f>
        <v>2</v>
      </c>
      <c r="C12" s="10">
        <f>IF(Оценки_Критерии!$F$5&gt;=Оценки_Критерии!$F$3,MIN(9,1+Оценки_Критерии!$F$5-Оценки_Критерии!$F$3),1/MIN(9,1+Оценки_Критерии!$F$3-Оценки_Критерии!$F$5))</f>
        <v>4</v>
      </c>
      <c r="D12" s="10">
        <f>IF(Оценки_Критерии!$F$5&gt;=Оценки_Критерии!$F$4,MIN(9,1+Оценки_Критерии!$F$5-Оценки_Критерии!$F$4),1/MIN(9,1+Оценки_Критерии!$F$4-Оценки_Критерии!$F$5))</f>
        <v>4</v>
      </c>
      <c r="E12" s="10">
        <f>IF(Оценки_Критерии!$F$5&gt;=Оценки_Критерии!$F$5,MIN(9,1+Оценки_Критерии!$F$5-Оценки_Критерии!$F$5),1/MIN(9,1+Оценки_Критерии!$F$5-Оценки_Критерии!$F$5))</f>
        <v>1</v>
      </c>
    </row>
    <row r="14" spans="1:5" x14ac:dyDescent="0.25">
      <c r="A14" s="4" t="s">
        <v>120</v>
      </c>
      <c r="B14" s="1" t="s">
        <v>115</v>
      </c>
      <c r="C14" s="1" t="s">
        <v>116</v>
      </c>
      <c r="D14" s="1" t="s">
        <v>117</v>
      </c>
      <c r="E14" s="1" t="s">
        <v>118</v>
      </c>
    </row>
    <row r="15" spans="1:5" x14ac:dyDescent="0.25">
      <c r="A15" s="2" t="s">
        <v>36</v>
      </c>
      <c r="B15" s="10">
        <f>IF(Оценки_Критерии!$I$2&gt;=Оценки_Критерии!$I$2,MIN(9,1+Оценки_Критерии!$I$2-Оценки_Критерии!$I$2),1/MIN(9,1+Оценки_Критерии!$I$2-Оценки_Критерии!$I$2))</f>
        <v>1</v>
      </c>
      <c r="C15" s="10">
        <f>IF(Оценки_Критерии!$I$2&gt;=Оценки_Критерии!$I$3,MIN(9,1+Оценки_Критерии!$I$2-Оценки_Критерии!$I$3),1/MIN(9,1+Оценки_Критерии!$I$3-Оценки_Критерии!$I$2))</f>
        <v>2</v>
      </c>
      <c r="D15" s="10">
        <f>IF(Оценки_Критерии!$I$2&gt;=Оценки_Критерии!$I$4,MIN(9,1+Оценки_Критерии!$I$2-Оценки_Критерии!$I$4),1/MIN(9,1+Оценки_Критерии!$I$4-Оценки_Критерии!$I$2))</f>
        <v>3</v>
      </c>
      <c r="E15" s="10">
        <f>IF(Оценки_Критерии!$I$2&gt;=Оценки_Критерии!$I$5,MIN(9,1+Оценки_Критерии!$I$2-Оценки_Критерии!$I$5),1/MIN(9,1+Оценки_Критерии!$I$5-Оценки_Критерии!$I$2))</f>
        <v>0.5</v>
      </c>
    </row>
    <row r="16" spans="1:5" x14ac:dyDescent="0.25">
      <c r="A16" s="2" t="s">
        <v>37</v>
      </c>
      <c r="B16" s="10">
        <f>IF(Оценки_Критерии!$I$3&gt;=Оценки_Критерии!$I$2,MIN(9,1+Оценки_Критерии!$I$3-Оценки_Критерии!$I$2),1/MIN(9,1+Оценки_Критерии!$I$2-Оценки_Критерии!$I$3))</f>
        <v>0.5</v>
      </c>
      <c r="C16" s="10">
        <f>IF(Оценки_Критерии!$I$3&gt;=Оценки_Критерии!$I$3,MIN(9,1+Оценки_Критерии!$I$3-Оценки_Критерии!$I$3),1/MIN(9,1+Оценки_Критерии!$I$3-Оценки_Критерии!$I$3))</f>
        <v>1</v>
      </c>
      <c r="D16" s="10">
        <f>IF(Оценки_Критерии!$I$3&gt;=Оценки_Критерии!$I$4,MIN(9,1+Оценки_Критерии!$I$3-Оценки_Критерии!$I$4),1/MIN(9,1+Оценки_Критерии!$I$4-Оценки_Критерии!$I$3))</f>
        <v>2</v>
      </c>
      <c r="E16" s="10">
        <f>IF(Оценки_Критерии!$I$3&gt;=Оценки_Критерии!$I$5,MIN(9,1+Оценки_Критерии!$I$3-Оценки_Критерии!$I$5),1/MIN(9,1+Оценки_Критерии!$I$5-Оценки_Критерии!$I$3))</f>
        <v>0.33333333333333331</v>
      </c>
    </row>
    <row r="17" spans="1:7" x14ac:dyDescent="0.25">
      <c r="A17" s="2" t="s">
        <v>38</v>
      </c>
      <c r="B17" s="10">
        <f>IF(Оценки_Критерии!$I$4&gt;=Оценки_Критерии!$I$2,MIN(9,1+Оценки_Критерии!$I$4-Оценки_Критерии!$I$2),1/MIN(9,1+Оценки_Критерии!$I$2-Оценки_Критерии!$I$4))</f>
        <v>0.33333333333333331</v>
      </c>
      <c r="C17" s="10">
        <f>IF(Оценки_Критерии!$I$4&gt;=Оценки_Критерии!$I$3,MIN(9,1+Оценки_Критерии!$I$4-Оценки_Критерии!$I$3),1/MIN(9,1+Оценки_Критерии!$I$3-Оценки_Критерии!$I$4))</f>
        <v>0.5</v>
      </c>
      <c r="D17" s="10">
        <f>IF(Оценки_Критерии!$I$4&gt;=Оценки_Критерии!$I$4,MIN(9,1+Оценки_Критерии!$I$4-Оценки_Критерии!$I$4),1/MIN(9,1+Оценки_Критерии!$I$4-Оценки_Критерии!$I$4))</f>
        <v>1</v>
      </c>
      <c r="E17" s="10">
        <f>IF(Оценки_Критерии!$I$4&gt;=Оценки_Критерии!$I$5,MIN(9,1+Оценки_Критерии!$I$4-Оценки_Критерии!$I$5),1/MIN(9,1+Оценки_Критерии!$I$5-Оценки_Критерии!$I$4))</f>
        <v>0.25</v>
      </c>
    </row>
    <row r="18" spans="1:7" x14ac:dyDescent="0.25">
      <c r="A18" s="2" t="s">
        <v>39</v>
      </c>
      <c r="B18" s="10">
        <f>IF(Оценки_Критерии!$I$5&gt;=Оценки_Критерии!$I$2,MIN(9,1+Оценки_Критерии!$I$5-Оценки_Критерии!$I$2),1/MIN(9,1+Оценки_Критерии!$I$2-Оценки_Критерии!$I$5))</f>
        <v>2</v>
      </c>
      <c r="C18" s="10">
        <f>IF(Оценки_Критерии!$I$5&gt;=Оценки_Критерии!$I$3,MIN(9,1+Оценки_Критерии!$I$5-Оценки_Критерии!$I$3),1/MIN(9,1+Оценки_Критерии!$I$3-Оценки_Критерии!$I$5))</f>
        <v>3</v>
      </c>
      <c r="D18" s="10">
        <f>IF(Оценки_Критерии!$I$5&gt;=Оценки_Критерии!$I$4,MIN(9,1+Оценки_Критерии!$I$5-Оценки_Критерии!$I$4),1/MIN(9,1+Оценки_Критерии!$I$4-Оценки_Критерии!$I$5))</f>
        <v>4</v>
      </c>
      <c r="E18" s="10">
        <f>IF(Оценки_Критерии!$I$5&gt;=Оценки_Критерии!$I$5,MIN(9,1+Оценки_Критерии!$I$5-Оценки_Критерии!$I$5),1/MIN(9,1+Оценки_Критерии!$I$5-Оценки_Критерии!$I$5))</f>
        <v>1</v>
      </c>
    </row>
    <row r="20" spans="1:7" x14ac:dyDescent="0.25">
      <c r="A20" s="4" t="s">
        <v>121</v>
      </c>
      <c r="B20" s="1" t="s">
        <v>115</v>
      </c>
      <c r="C20" s="1" t="s">
        <v>116</v>
      </c>
      <c r="D20" s="1" t="s">
        <v>117</v>
      </c>
      <c r="E20" s="1" t="s">
        <v>118</v>
      </c>
    </row>
    <row r="21" spans="1:7" x14ac:dyDescent="0.25">
      <c r="A21" s="2" t="s">
        <v>36</v>
      </c>
      <c r="B21" s="10">
        <f>IF(Оценки_Критерии!$L$2&gt;=Оценки_Критерии!$L$2,MIN(9,1+Оценки_Критерии!$L$2-Оценки_Критерии!$L$2),1/MIN(9,1+Оценки_Критерии!$L$2-Оценки_Критерии!$L$2))</f>
        <v>1</v>
      </c>
      <c r="C21" s="10">
        <f>IF(Оценки_Критерии!$L$2&gt;=Оценки_Критерии!$L$3,MIN(9,1+Оценки_Критерии!$L$2-Оценки_Критерии!$L$3),1/MIN(9,1+Оценки_Критерии!$L$3-Оценки_Критерии!$L$2))</f>
        <v>4</v>
      </c>
      <c r="D21" s="10">
        <f>IF(Оценки_Критерии!$L$2&gt;=Оценки_Критерии!$L$4,MIN(9,1+Оценки_Критерии!$L$2-Оценки_Критерии!$L$4),1/MIN(9,1+Оценки_Критерии!$L$4-Оценки_Критерии!$L$2))</f>
        <v>3</v>
      </c>
      <c r="E21" s="10">
        <f>IF(Оценки_Критерии!$L$2&gt;=Оценки_Критерии!$L$5,MIN(9,1+Оценки_Критерии!$L$2-Оценки_Критерии!$L$5),1/MIN(9,1+Оценки_Критерии!$L$5-Оценки_Критерии!$L$2))</f>
        <v>2</v>
      </c>
    </row>
    <row r="22" spans="1:7" x14ac:dyDescent="0.25">
      <c r="A22" s="2" t="s">
        <v>37</v>
      </c>
      <c r="B22" s="10">
        <f>IF(Оценки_Критерии!$L$3&gt;=Оценки_Критерии!$L$2,MIN(9,1+Оценки_Критерии!$L$3-Оценки_Критерии!$L$2),1/MIN(9,1+Оценки_Критерии!$L$2-Оценки_Критерии!$L$3))</f>
        <v>0.25</v>
      </c>
      <c r="C22" s="10">
        <f>IF(Оценки_Критерии!$L$3&gt;=Оценки_Критерии!$L$3,MIN(9,1+Оценки_Критерии!$L$3-Оценки_Критерии!$L$3),1/MIN(9,1+Оценки_Критерии!$L$3-Оценки_Критерии!$L$3))</f>
        <v>1</v>
      </c>
      <c r="D22" s="10">
        <f>IF(Оценки_Критерии!$L$3&gt;=Оценки_Критерии!$L$4,MIN(9,1+Оценки_Критерии!$L$3-Оценки_Критерии!$L$4),1/MIN(9,1+Оценки_Критерии!$L$4-Оценки_Критерии!$L$3))</f>
        <v>0.5</v>
      </c>
      <c r="E22" s="10">
        <f>IF(Оценки_Критерии!$L$3&gt;=Оценки_Критерии!$L$5,MIN(9,1+Оценки_Критерии!$L$3-Оценки_Критерии!$L$5),1/MIN(9,1+Оценки_Критерии!$L$5-Оценки_Критерии!$L$3))</f>
        <v>0.33333333333333331</v>
      </c>
    </row>
    <row r="23" spans="1:7" x14ac:dyDescent="0.25">
      <c r="A23" s="2" t="s">
        <v>38</v>
      </c>
      <c r="B23" s="10">
        <f>IF(Оценки_Критерии!$L$4&gt;=Оценки_Критерии!$L$2,MIN(9,1+Оценки_Критерии!$L$4-Оценки_Критерии!$L$2),1/MIN(9,1+Оценки_Критерии!$L$2-Оценки_Критерии!$L$4))</f>
        <v>0.33333333333333331</v>
      </c>
      <c r="C23" s="10">
        <f>IF(Оценки_Критерии!$L$4&gt;=Оценки_Критерии!$L$3,MIN(9,1+Оценки_Критерии!$L$4-Оценки_Критерии!$L$3),1/MIN(9,1+Оценки_Критерии!$L$3-Оценки_Критерии!$L$4))</f>
        <v>2</v>
      </c>
      <c r="D23" s="10">
        <f>IF(Оценки_Критерии!$L$4&gt;=Оценки_Критерии!$L$4,MIN(9,1+Оценки_Критерии!$L$4-Оценки_Критерии!$L$4),1/MIN(9,1+Оценки_Критерии!$L$4-Оценки_Критерии!$L$4))</f>
        <v>1</v>
      </c>
      <c r="E23" s="10">
        <f>IF(Оценки_Критерии!$L$4&gt;=Оценки_Критерии!$L$5,MIN(9,1+Оценки_Критерии!$L$4-Оценки_Критерии!$L$5),1/MIN(9,1+Оценки_Критерии!$L$5-Оценки_Критерии!$L$4))</f>
        <v>0.5</v>
      </c>
    </row>
    <row r="24" spans="1:7" x14ac:dyDescent="0.25">
      <c r="A24" s="2" t="s">
        <v>39</v>
      </c>
      <c r="B24" s="10">
        <f>IF(Оценки_Критерии!$L$5&gt;=Оценки_Критерии!$L$2,MIN(9,1+Оценки_Критерии!$L$5-Оценки_Критерии!$L$2),1/MIN(9,1+Оценки_Критерии!$L$2-Оценки_Критерии!$L$5))</f>
        <v>0.5</v>
      </c>
      <c r="C24" s="10">
        <f>IF(Оценки_Критерии!$L$5&gt;=Оценки_Критерии!$L$3,MIN(9,1+Оценки_Критерии!$L$5-Оценки_Критерии!$L$3),1/MIN(9,1+Оценки_Критерии!$L$3-Оценки_Критерии!$L$5))</f>
        <v>3</v>
      </c>
      <c r="D24" s="10">
        <f>IF(Оценки_Критерии!$L$5&gt;=Оценки_Критерии!$L$4,MIN(9,1+Оценки_Критерии!$L$5-Оценки_Критерии!$L$4),1/MIN(9,1+Оценки_Критерии!$L$4-Оценки_Критерии!$L$5))</f>
        <v>2</v>
      </c>
      <c r="E24" s="10">
        <f>IF(Оценки_Критерии!$L$5&gt;=Оценки_Критерии!$L$5,MIN(9,1+Оценки_Критерии!$L$5-Оценки_Критерии!$L$5),1/MIN(9,1+Оценки_Критерии!$L$5-Оценки_Критерии!$L$5))</f>
        <v>1</v>
      </c>
    </row>
    <row r="26" spans="1:7" ht="45" x14ac:dyDescent="0.25">
      <c r="A26" s="4" t="s">
        <v>122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123</v>
      </c>
      <c r="G26" s="1" t="s">
        <v>124</v>
      </c>
    </row>
    <row r="27" spans="1:7" x14ac:dyDescent="0.25">
      <c r="A27" s="2" t="s">
        <v>36</v>
      </c>
      <c r="B27" s="10">
        <f t="shared" ref="B27:E30" si="0">GEOMEAN(B3,B9,B15,B21)</f>
        <v>1</v>
      </c>
      <c r="C27" s="10">
        <f t="shared" si="0"/>
        <v>2.9129506302439405</v>
      </c>
      <c r="D27" s="10">
        <f t="shared" si="0"/>
        <v>3</v>
      </c>
      <c r="E27" s="10">
        <f t="shared" si="0"/>
        <v>1</v>
      </c>
      <c r="F27" s="5">
        <f>GEOMEAN(B27:E27)</f>
        <v>1.7193472355999144</v>
      </c>
      <c r="G27" s="6">
        <f>F27/SUM($F$27:$F$30)</f>
        <v>0.37496180628257564</v>
      </c>
    </row>
    <row r="28" spans="1:7" x14ac:dyDescent="0.25">
      <c r="A28" s="2" t="s">
        <v>37</v>
      </c>
      <c r="B28" s="10">
        <f t="shared" si="0"/>
        <v>0.3432945239845196</v>
      </c>
      <c r="C28" s="10">
        <f t="shared" si="0"/>
        <v>1</v>
      </c>
      <c r="D28" s="10">
        <f t="shared" si="0"/>
        <v>1</v>
      </c>
      <c r="E28" s="10">
        <f t="shared" si="0"/>
        <v>0.3432945239845196</v>
      </c>
      <c r="F28" s="5">
        <f>GEOMEAN(B28:E28)</f>
        <v>0.58591340997157559</v>
      </c>
      <c r="G28" s="6">
        <f>F28/SUM($F$27:$F$30)</f>
        <v>0.12777823233098651</v>
      </c>
    </row>
    <row r="29" spans="1:7" x14ac:dyDescent="0.25">
      <c r="A29" s="2" t="s">
        <v>38</v>
      </c>
      <c r="B29" s="10">
        <f t="shared" si="0"/>
        <v>0.33333333333333331</v>
      </c>
      <c r="C29" s="10">
        <f t="shared" si="0"/>
        <v>1</v>
      </c>
      <c r="D29" s="10">
        <f t="shared" si="0"/>
        <v>1</v>
      </c>
      <c r="E29" s="10">
        <f t="shared" si="0"/>
        <v>0.35355339059327379</v>
      </c>
      <c r="F29" s="5">
        <f>GEOMEAN(B29:E29)</f>
        <v>0.58591340997157559</v>
      </c>
      <c r="G29" s="6">
        <f>F29/SUM($F$27:$F$30)</f>
        <v>0.12777823233098651</v>
      </c>
    </row>
    <row r="30" spans="1:7" x14ac:dyDescent="0.25">
      <c r="A30" s="2" t="s">
        <v>39</v>
      </c>
      <c r="B30" s="10">
        <f t="shared" si="0"/>
        <v>1</v>
      </c>
      <c r="C30" s="10">
        <f t="shared" si="0"/>
        <v>2.9129506302439405</v>
      </c>
      <c r="D30" s="10">
        <f t="shared" si="0"/>
        <v>2.8284271247461898</v>
      </c>
      <c r="E30" s="10">
        <f t="shared" si="0"/>
        <v>1</v>
      </c>
      <c r="F30" s="5">
        <f>GEOMEAN(B30:E30)</f>
        <v>1.6942189279337481</v>
      </c>
      <c r="G30" s="6">
        <f>F30/SUM($F$27:$F$30)</f>
        <v>0.3694817290554514</v>
      </c>
    </row>
    <row r="31" spans="1:7" x14ac:dyDescent="0.25">
      <c r="A31" s="2" t="s">
        <v>125</v>
      </c>
      <c r="B31" s="5">
        <f>SUM(B27:B30)*G27+SUM(C27:C30)*G28+SUM(D27:D30)*G29+SUM(E27:E30)*G30</f>
        <v>4.0003516559979495</v>
      </c>
    </row>
    <row r="32" spans="1:7" x14ac:dyDescent="0.25">
      <c r="A32" s="2" t="s">
        <v>126</v>
      </c>
      <c r="B32" s="5">
        <f>(B31-4)/(4-1)</f>
        <v>1.1721866598316903E-4</v>
      </c>
    </row>
    <row r="33" spans="1:5" ht="42.75" x14ac:dyDescent="0.25">
      <c r="A33" s="2" t="s">
        <v>127</v>
      </c>
      <c r="B33" s="5">
        <f>B32/0.9</f>
        <v>1.3024296220352116E-4</v>
      </c>
      <c r="C33" s="2" t="str">
        <f>IF(B33&lt;=0.1,"согласовано (ОС ≤ 0,10)","ОС &gt; 0,10 — пересмотреть")</f>
        <v>согласовано (ОС ≤ 0,10)</v>
      </c>
    </row>
    <row r="35" spans="1:5" ht="30" x14ac:dyDescent="0.25">
      <c r="A35" s="4" t="s">
        <v>128</v>
      </c>
    </row>
    <row r="36" spans="1:5" x14ac:dyDescent="0.25">
      <c r="A36" s="4" t="s">
        <v>114</v>
      </c>
      <c r="B36" s="1" t="s">
        <v>129</v>
      </c>
      <c r="C36" s="1" t="s">
        <v>130</v>
      </c>
      <c r="D36" s="1" t="s">
        <v>131</v>
      </c>
      <c r="E36" s="1" t="s">
        <v>132</v>
      </c>
    </row>
    <row r="37" spans="1:5" x14ac:dyDescent="0.25">
      <c r="A37" s="2" t="s">
        <v>17</v>
      </c>
      <c r="B37" s="10">
        <f>IF(Оценки_Альтернативы!$C$3&gt;=Оценки_Альтернативы!$C$3,MIN(9,1+Оценки_Альтернативы!$C$3-Оценки_Альтернативы!$C$3),1/MIN(9,1+Оценки_Альтернативы!$C$3-Оценки_Альтернативы!$C$3))</f>
        <v>1</v>
      </c>
      <c r="C37" s="10">
        <f>IF(Оценки_Альтернативы!$C$3&gt;=Оценки_Альтернативы!$C$4,MIN(9,1+Оценки_Альтернативы!$C$3-Оценки_Альтернативы!$C$4),1/MIN(9,1+Оценки_Альтернативы!$C$4-Оценки_Альтернативы!$C$3))</f>
        <v>2</v>
      </c>
      <c r="D37" s="10">
        <f>IF(Оценки_Альтернативы!$C$3&gt;=Оценки_Альтернативы!$C$5,MIN(9,1+Оценки_Альтернативы!$C$3-Оценки_Альтернативы!$C$5),1/MIN(9,1+Оценки_Альтернативы!$C$5-Оценки_Альтернативы!$C$3))</f>
        <v>2</v>
      </c>
      <c r="E37" s="10">
        <f>IF(Оценки_Альтернативы!$C$3&gt;=Оценки_Альтернативы!$C$6,MIN(9,1+Оценки_Альтернативы!$C$3-Оценки_Альтернативы!$C$6),1/MIN(9,1+Оценки_Альтернативы!$C$6-Оценки_Альтернативы!$C$3))</f>
        <v>1</v>
      </c>
    </row>
    <row r="38" spans="1:5" x14ac:dyDescent="0.25">
      <c r="A38" s="2" t="s">
        <v>18</v>
      </c>
      <c r="B38" s="10">
        <f>IF(Оценки_Альтернативы!$C$4&gt;=Оценки_Альтернативы!$C$3,MIN(9,1+Оценки_Альтернативы!$C$4-Оценки_Альтернативы!$C$3),1/MIN(9,1+Оценки_Альтернативы!$C$3-Оценки_Альтернативы!$C$4))</f>
        <v>0.5</v>
      </c>
      <c r="C38" s="10">
        <f>IF(Оценки_Альтернативы!$C$4&gt;=Оценки_Альтернативы!$C$4,MIN(9,1+Оценки_Альтернативы!$C$4-Оценки_Альтернативы!$C$4),1/MIN(9,1+Оценки_Альтернативы!$C$4-Оценки_Альтернативы!$C$4))</f>
        <v>1</v>
      </c>
      <c r="D38" s="10">
        <f>IF(Оценки_Альтернативы!$C$4&gt;=Оценки_Альтернативы!$C$5,MIN(9,1+Оценки_Альтернативы!$C$4-Оценки_Альтернативы!$C$5),1/MIN(9,1+Оценки_Альтернативы!$C$5-Оценки_Альтернативы!$C$4))</f>
        <v>1</v>
      </c>
      <c r="E38" s="10">
        <f>IF(Оценки_Альтернативы!$C$4&gt;=Оценки_Альтернативы!$C$6,MIN(9,1+Оценки_Альтернативы!$C$4-Оценки_Альтернативы!$C$6),1/MIN(9,1+Оценки_Альтернативы!$C$6-Оценки_Альтернативы!$C$4))</f>
        <v>0.5</v>
      </c>
    </row>
    <row r="39" spans="1:5" ht="28.5" x14ac:dyDescent="0.25">
      <c r="A39" s="2" t="s">
        <v>19</v>
      </c>
      <c r="B39" s="10">
        <f>IF(Оценки_Альтернативы!$C$5&gt;=Оценки_Альтернативы!$C$3,MIN(9,1+Оценки_Альтернативы!$C$5-Оценки_Альтернативы!$C$3),1/MIN(9,1+Оценки_Альтернативы!$C$3-Оценки_Альтернативы!$C$5))</f>
        <v>0.5</v>
      </c>
      <c r="C39" s="10">
        <f>IF(Оценки_Альтернативы!$C$5&gt;=Оценки_Альтернативы!$C$4,MIN(9,1+Оценки_Альтернативы!$C$5-Оценки_Альтернативы!$C$4),1/MIN(9,1+Оценки_Альтернативы!$C$4-Оценки_Альтернативы!$C$5))</f>
        <v>1</v>
      </c>
      <c r="D39" s="10">
        <f>IF(Оценки_Альтернативы!$C$5&gt;=Оценки_Альтернативы!$C$5,MIN(9,1+Оценки_Альтернативы!$C$5-Оценки_Альтернативы!$C$5),1/MIN(9,1+Оценки_Альтернативы!$C$5-Оценки_Альтернативы!$C$5))</f>
        <v>1</v>
      </c>
      <c r="E39" s="10">
        <f>IF(Оценки_Альтернативы!$C$5&gt;=Оценки_Альтернативы!$C$6,MIN(9,1+Оценки_Альтернативы!$C$5-Оценки_Альтернативы!$C$6),1/MIN(9,1+Оценки_Альтернативы!$C$6-Оценки_Альтернативы!$C$5))</f>
        <v>0.5</v>
      </c>
    </row>
    <row r="40" spans="1:5" x14ac:dyDescent="0.25">
      <c r="A40" s="2" t="s">
        <v>20</v>
      </c>
      <c r="B40" s="10">
        <f>IF(Оценки_Альтернативы!$C$6&gt;=Оценки_Альтернативы!$C$3,MIN(9,1+Оценки_Альтернативы!$C$6-Оценки_Альтернативы!$C$3),1/MIN(9,1+Оценки_Альтернативы!$C$3-Оценки_Альтернативы!$C$6))</f>
        <v>1</v>
      </c>
      <c r="C40" s="10">
        <f>IF(Оценки_Альтернативы!$C$6&gt;=Оценки_Альтернативы!$C$4,MIN(9,1+Оценки_Альтернативы!$C$6-Оценки_Альтернативы!$C$4),1/MIN(9,1+Оценки_Альтернативы!$C$4-Оценки_Альтернативы!$C$6))</f>
        <v>2</v>
      </c>
      <c r="D40" s="10">
        <f>IF(Оценки_Альтернативы!$C$6&gt;=Оценки_Альтернативы!$C$5,MIN(9,1+Оценки_Альтернативы!$C$6-Оценки_Альтернативы!$C$5),1/MIN(9,1+Оценки_Альтернативы!$C$5-Оценки_Альтернативы!$C$6))</f>
        <v>2</v>
      </c>
      <c r="E40" s="10">
        <f>IF(Оценки_Альтернативы!$C$6&gt;=Оценки_Альтернативы!$C$6,MIN(9,1+Оценки_Альтернативы!$C$6-Оценки_Альтернативы!$C$6),1/MIN(9,1+Оценки_Альтернативы!$C$6-Оценки_Альтернативы!$C$6))</f>
        <v>1</v>
      </c>
    </row>
    <row r="42" spans="1:5" x14ac:dyDescent="0.25">
      <c r="A42" s="4" t="s">
        <v>119</v>
      </c>
      <c r="B42" s="1" t="s">
        <v>129</v>
      </c>
      <c r="C42" s="1" t="s">
        <v>130</v>
      </c>
      <c r="D42" s="1" t="s">
        <v>131</v>
      </c>
      <c r="E42" s="1" t="s">
        <v>132</v>
      </c>
    </row>
    <row r="43" spans="1:5" x14ac:dyDescent="0.25">
      <c r="A43" s="2" t="s">
        <v>17</v>
      </c>
      <c r="B43" s="10">
        <f>IF(Оценки_Альтернативы!$C$10&gt;=Оценки_Альтернативы!$C$10,MIN(9,1+Оценки_Альтернативы!$C$10-Оценки_Альтернативы!$C$10),1/MIN(9,1+Оценки_Альтернативы!$C$10-Оценки_Альтернативы!$C$10))</f>
        <v>1</v>
      </c>
      <c r="C43" s="10">
        <f>IF(Оценки_Альтернативы!$C$10&gt;=Оценки_Альтернативы!$C$11,MIN(9,1+Оценки_Альтернативы!$C$10-Оценки_Альтернативы!$C$11),1/MIN(9,1+Оценки_Альтернативы!$C$11-Оценки_Альтернативы!$C$10))</f>
        <v>2</v>
      </c>
      <c r="D43" s="10">
        <f>IF(Оценки_Альтернативы!$C$10&gt;=Оценки_Альтернативы!$C$12,MIN(9,1+Оценки_Альтернативы!$C$10-Оценки_Альтернативы!$C$12),1/MIN(9,1+Оценки_Альтернативы!$C$12-Оценки_Альтернативы!$C$10))</f>
        <v>2</v>
      </c>
      <c r="E43" s="10">
        <f>IF(Оценки_Альтернативы!$C$10&gt;=Оценки_Альтернативы!$C$13,MIN(9,1+Оценки_Альтернативы!$C$10-Оценки_Альтернативы!$C$13),1/MIN(9,1+Оценки_Альтернативы!$C$13-Оценки_Альтернативы!$C$10))</f>
        <v>0.5</v>
      </c>
    </row>
    <row r="44" spans="1:5" x14ac:dyDescent="0.25">
      <c r="A44" s="2" t="s">
        <v>18</v>
      </c>
      <c r="B44" s="10">
        <f>IF(Оценки_Альтернативы!$C$11&gt;=Оценки_Альтернативы!$C$10,MIN(9,1+Оценки_Альтернативы!$C$11-Оценки_Альтернативы!$C$10),1/MIN(9,1+Оценки_Альтернативы!$C$10-Оценки_Альтернативы!$C$11))</f>
        <v>0.5</v>
      </c>
      <c r="C44" s="10">
        <f>IF(Оценки_Альтернативы!$C$11&gt;=Оценки_Альтернативы!$C$11,MIN(9,1+Оценки_Альтернативы!$C$11-Оценки_Альтернативы!$C$11),1/MIN(9,1+Оценки_Альтернативы!$C$11-Оценки_Альтернативы!$C$11))</f>
        <v>1</v>
      </c>
      <c r="D44" s="10">
        <f>IF(Оценки_Альтернативы!$C$11&gt;=Оценки_Альтернативы!$C$12,MIN(9,1+Оценки_Альтернативы!$C$11-Оценки_Альтернативы!$C$12),1/MIN(9,1+Оценки_Альтернативы!$C$12-Оценки_Альтернативы!$C$11))</f>
        <v>1</v>
      </c>
      <c r="E44" s="10">
        <f>IF(Оценки_Альтернативы!$C$11&gt;=Оценки_Альтернативы!$C$13,MIN(9,1+Оценки_Альтернативы!$C$11-Оценки_Альтернативы!$C$13),1/MIN(9,1+Оценки_Альтернативы!$C$13-Оценки_Альтернативы!$C$11))</f>
        <v>0.33333333333333331</v>
      </c>
    </row>
    <row r="45" spans="1:5" ht="28.5" x14ac:dyDescent="0.25">
      <c r="A45" s="2" t="s">
        <v>19</v>
      </c>
      <c r="B45" s="10">
        <f>IF(Оценки_Альтернативы!$C$12&gt;=Оценки_Альтернативы!$C$10,MIN(9,1+Оценки_Альтернативы!$C$12-Оценки_Альтернативы!$C$10),1/MIN(9,1+Оценки_Альтернативы!$C$10-Оценки_Альтернативы!$C$12))</f>
        <v>0.5</v>
      </c>
      <c r="C45" s="10">
        <f>IF(Оценки_Альтернативы!$C$12&gt;=Оценки_Альтернативы!$C$11,MIN(9,1+Оценки_Альтернативы!$C$12-Оценки_Альтернативы!$C$11),1/MIN(9,1+Оценки_Альтернативы!$C$11-Оценки_Альтернативы!$C$12))</f>
        <v>1</v>
      </c>
      <c r="D45" s="10">
        <f>IF(Оценки_Альтернативы!$C$12&gt;=Оценки_Альтернативы!$C$12,MIN(9,1+Оценки_Альтернативы!$C$12-Оценки_Альтернативы!$C$12),1/MIN(9,1+Оценки_Альтернативы!$C$12-Оценки_Альтернативы!$C$12))</f>
        <v>1</v>
      </c>
      <c r="E45" s="10">
        <f>IF(Оценки_Альтернативы!$C$12&gt;=Оценки_Альтернативы!$C$13,MIN(9,1+Оценки_Альтернативы!$C$12-Оценки_Альтернативы!$C$13),1/MIN(9,1+Оценки_Альтернативы!$C$13-Оценки_Альтернативы!$C$12))</f>
        <v>0.33333333333333331</v>
      </c>
    </row>
    <row r="46" spans="1:5" x14ac:dyDescent="0.25">
      <c r="A46" s="2" t="s">
        <v>20</v>
      </c>
      <c r="B46" s="10">
        <f>IF(Оценки_Альтернативы!$C$13&gt;=Оценки_Альтернативы!$C$10,MIN(9,1+Оценки_Альтернативы!$C$13-Оценки_Альтернативы!$C$10),1/MIN(9,1+Оценки_Альтернативы!$C$10-Оценки_Альтернативы!$C$13))</f>
        <v>2</v>
      </c>
      <c r="C46" s="10">
        <f>IF(Оценки_Альтернативы!$C$13&gt;=Оценки_Альтернативы!$C$11,MIN(9,1+Оценки_Альтернативы!$C$13-Оценки_Альтернативы!$C$11),1/MIN(9,1+Оценки_Альтернативы!$C$11-Оценки_Альтернативы!$C$13))</f>
        <v>3</v>
      </c>
      <c r="D46" s="10">
        <f>IF(Оценки_Альтернативы!$C$13&gt;=Оценки_Альтернативы!$C$12,MIN(9,1+Оценки_Альтернативы!$C$13-Оценки_Альтернативы!$C$12),1/MIN(9,1+Оценки_Альтернативы!$C$12-Оценки_Альтернативы!$C$13))</f>
        <v>3</v>
      </c>
      <c r="E46" s="10">
        <f>IF(Оценки_Альтернативы!$C$13&gt;=Оценки_Альтернативы!$C$13,MIN(9,1+Оценки_Альтернативы!$C$13-Оценки_Альтернативы!$C$13),1/MIN(9,1+Оценки_Альтернативы!$C$13-Оценки_Альтернативы!$C$13))</f>
        <v>1</v>
      </c>
    </row>
    <row r="48" spans="1:5" x14ac:dyDescent="0.25">
      <c r="A48" s="4" t="s">
        <v>120</v>
      </c>
      <c r="B48" s="1" t="s">
        <v>129</v>
      </c>
      <c r="C48" s="1" t="s">
        <v>130</v>
      </c>
      <c r="D48" s="1" t="s">
        <v>131</v>
      </c>
      <c r="E48" s="1" t="s">
        <v>132</v>
      </c>
    </row>
    <row r="49" spans="1:7" x14ac:dyDescent="0.25">
      <c r="A49" s="2" t="s">
        <v>17</v>
      </c>
      <c r="B49" s="10">
        <f>IF(Оценки_Альтернативы!$C$17&gt;=Оценки_Альтернативы!$C$17,MIN(9,1+Оценки_Альтернативы!$C$17-Оценки_Альтернативы!$C$17),1/MIN(9,1+Оценки_Альтернативы!$C$17-Оценки_Альтернативы!$C$17))</f>
        <v>1</v>
      </c>
      <c r="C49" s="10">
        <f>IF(Оценки_Альтернативы!$C$17&gt;=Оценки_Альтернативы!$C$18,MIN(9,1+Оценки_Альтернативы!$C$17-Оценки_Альтернативы!$C$18),1/MIN(9,1+Оценки_Альтернативы!$C$18-Оценки_Альтернативы!$C$17))</f>
        <v>2</v>
      </c>
      <c r="D49" s="10">
        <f>IF(Оценки_Альтернативы!$C$17&gt;=Оценки_Альтернативы!$C$19,MIN(9,1+Оценки_Альтернативы!$C$17-Оценки_Альтернативы!$C$19),1/MIN(9,1+Оценки_Альтернативы!$C$19-Оценки_Альтернативы!$C$17))</f>
        <v>1</v>
      </c>
      <c r="E49" s="10">
        <f>IF(Оценки_Альтернативы!$C$17&gt;=Оценки_Альтернативы!$C$20,MIN(9,1+Оценки_Альтернативы!$C$17-Оценки_Альтернативы!$C$20),1/MIN(9,1+Оценки_Альтернативы!$C$20-Оценки_Альтернативы!$C$17))</f>
        <v>0.5</v>
      </c>
    </row>
    <row r="50" spans="1:7" x14ac:dyDescent="0.25">
      <c r="A50" s="2" t="s">
        <v>18</v>
      </c>
      <c r="B50" s="10">
        <f>IF(Оценки_Альтернативы!$C$18&gt;=Оценки_Альтернативы!$C$17,MIN(9,1+Оценки_Альтернативы!$C$18-Оценки_Альтернативы!$C$17),1/MIN(9,1+Оценки_Альтернативы!$C$17-Оценки_Альтернативы!$C$18))</f>
        <v>0.5</v>
      </c>
      <c r="C50" s="10">
        <f>IF(Оценки_Альтернативы!$C$18&gt;=Оценки_Альтернативы!$C$18,MIN(9,1+Оценки_Альтернативы!$C$18-Оценки_Альтернативы!$C$18),1/MIN(9,1+Оценки_Альтернативы!$C$18-Оценки_Альтернативы!$C$18))</f>
        <v>1</v>
      </c>
      <c r="D50" s="10">
        <f>IF(Оценки_Альтернативы!$C$18&gt;=Оценки_Альтернативы!$C$19,MIN(9,1+Оценки_Альтернативы!$C$18-Оценки_Альтернативы!$C$19),1/MIN(9,1+Оценки_Альтернативы!$C$19-Оценки_Альтернативы!$C$18))</f>
        <v>0.5</v>
      </c>
      <c r="E50" s="10">
        <f>IF(Оценки_Альтернативы!$C$18&gt;=Оценки_Альтернативы!$C$20,MIN(9,1+Оценки_Альтернативы!$C$18-Оценки_Альтернативы!$C$20),1/MIN(9,1+Оценки_Альтернативы!$C$20-Оценки_Альтернативы!$C$18))</f>
        <v>0.33333333333333331</v>
      </c>
    </row>
    <row r="51" spans="1:7" ht="28.5" x14ac:dyDescent="0.25">
      <c r="A51" s="2" t="s">
        <v>19</v>
      </c>
      <c r="B51" s="10">
        <f>IF(Оценки_Альтернативы!$C$19&gt;=Оценки_Альтернативы!$C$17,MIN(9,1+Оценки_Альтернативы!$C$19-Оценки_Альтернативы!$C$17),1/MIN(9,1+Оценки_Альтернативы!$C$17-Оценки_Альтернативы!$C$19))</f>
        <v>1</v>
      </c>
      <c r="C51" s="10">
        <f>IF(Оценки_Альтернативы!$C$19&gt;=Оценки_Альтернативы!$C$18,MIN(9,1+Оценки_Альтернативы!$C$19-Оценки_Альтернативы!$C$18),1/MIN(9,1+Оценки_Альтернативы!$C$18-Оценки_Альтернативы!$C$19))</f>
        <v>2</v>
      </c>
      <c r="D51" s="10">
        <f>IF(Оценки_Альтернативы!$C$19&gt;=Оценки_Альтернативы!$C$19,MIN(9,1+Оценки_Альтернативы!$C$19-Оценки_Альтернативы!$C$19),1/MIN(9,1+Оценки_Альтернативы!$C$19-Оценки_Альтернативы!$C$19))</f>
        <v>1</v>
      </c>
      <c r="E51" s="10">
        <f>IF(Оценки_Альтернативы!$C$19&gt;=Оценки_Альтернативы!$C$20,MIN(9,1+Оценки_Альтернативы!$C$19-Оценки_Альтернативы!$C$20),1/MIN(9,1+Оценки_Альтернативы!$C$20-Оценки_Альтернативы!$C$19))</f>
        <v>0.5</v>
      </c>
    </row>
    <row r="52" spans="1:7" x14ac:dyDescent="0.25">
      <c r="A52" s="2" t="s">
        <v>20</v>
      </c>
      <c r="B52" s="10">
        <f>IF(Оценки_Альтернативы!$C$20&gt;=Оценки_Альтернативы!$C$17,MIN(9,1+Оценки_Альтернативы!$C$20-Оценки_Альтернативы!$C$17),1/MIN(9,1+Оценки_Альтернативы!$C$17-Оценки_Альтернативы!$C$20))</f>
        <v>2</v>
      </c>
      <c r="C52" s="10">
        <f>IF(Оценки_Альтернативы!$C$20&gt;=Оценки_Альтернативы!$C$18,MIN(9,1+Оценки_Альтернативы!$C$20-Оценки_Альтернативы!$C$18),1/MIN(9,1+Оценки_Альтернативы!$C$18-Оценки_Альтернативы!$C$20))</f>
        <v>3</v>
      </c>
      <c r="D52" s="10">
        <f>IF(Оценки_Альтернативы!$C$20&gt;=Оценки_Альтернативы!$C$19,MIN(9,1+Оценки_Альтернативы!$C$20-Оценки_Альтернативы!$C$19),1/MIN(9,1+Оценки_Альтернативы!$C$19-Оценки_Альтернативы!$C$20))</f>
        <v>2</v>
      </c>
      <c r="E52" s="10">
        <f>IF(Оценки_Альтернативы!$C$20&gt;=Оценки_Альтернативы!$C$20,MIN(9,1+Оценки_Альтернативы!$C$20-Оценки_Альтернативы!$C$20),1/MIN(9,1+Оценки_Альтернативы!$C$20-Оценки_Альтернативы!$C$20))</f>
        <v>1</v>
      </c>
    </row>
    <row r="54" spans="1:7" x14ac:dyDescent="0.25">
      <c r="A54" s="4" t="s">
        <v>121</v>
      </c>
      <c r="B54" s="1" t="s">
        <v>129</v>
      </c>
      <c r="C54" s="1" t="s">
        <v>130</v>
      </c>
      <c r="D54" s="1" t="s">
        <v>131</v>
      </c>
      <c r="E54" s="1" t="s">
        <v>132</v>
      </c>
    </row>
    <row r="55" spans="1:7" x14ac:dyDescent="0.25">
      <c r="A55" s="2" t="s">
        <v>17</v>
      </c>
      <c r="B55" s="10">
        <f>IF(Оценки_Альтернативы!$C$24&gt;=Оценки_Альтернативы!$C$24,MIN(9,1+Оценки_Альтернативы!$C$24-Оценки_Альтернативы!$C$24),1/MIN(9,1+Оценки_Альтернативы!$C$24-Оценки_Альтернативы!$C$24))</f>
        <v>1</v>
      </c>
      <c r="C55" s="10">
        <f>IF(Оценки_Альтернативы!$C$24&gt;=Оценки_Альтернативы!$C$25,MIN(9,1+Оценки_Альтернативы!$C$24-Оценки_Альтернативы!$C$25),1/MIN(9,1+Оценки_Альтернативы!$C$25-Оценки_Альтернативы!$C$24))</f>
        <v>1</v>
      </c>
      <c r="D55" s="10">
        <f>IF(Оценки_Альтернативы!$C$24&gt;=Оценки_Альтернативы!$C$26,MIN(9,1+Оценки_Альтернативы!$C$24-Оценки_Альтернативы!$C$26),1/MIN(9,1+Оценки_Альтернативы!$C$26-Оценки_Альтернативы!$C$24))</f>
        <v>2</v>
      </c>
      <c r="E55" s="10">
        <f>IF(Оценки_Альтернативы!$C$24&gt;=Оценки_Альтернативы!$C$27,MIN(9,1+Оценки_Альтернативы!$C$24-Оценки_Альтернативы!$C$27),1/MIN(9,1+Оценки_Альтернативы!$C$27-Оценки_Альтернативы!$C$24))</f>
        <v>0.5</v>
      </c>
    </row>
    <row r="56" spans="1:7" x14ac:dyDescent="0.25">
      <c r="A56" s="2" t="s">
        <v>18</v>
      </c>
      <c r="B56" s="10">
        <f>IF(Оценки_Альтернативы!$C$25&gt;=Оценки_Альтернативы!$C$24,MIN(9,1+Оценки_Альтернативы!$C$25-Оценки_Альтернативы!$C$24),1/MIN(9,1+Оценки_Альтернативы!$C$24-Оценки_Альтернативы!$C$25))</f>
        <v>1</v>
      </c>
      <c r="C56" s="10">
        <f>IF(Оценки_Альтернативы!$C$25&gt;=Оценки_Альтернативы!$C$25,MIN(9,1+Оценки_Альтернативы!$C$25-Оценки_Альтернативы!$C$25),1/MIN(9,1+Оценки_Альтернативы!$C$25-Оценки_Альтернативы!$C$25))</f>
        <v>1</v>
      </c>
      <c r="D56" s="10">
        <f>IF(Оценки_Альтернативы!$C$25&gt;=Оценки_Альтернативы!$C$26,MIN(9,1+Оценки_Альтернативы!$C$25-Оценки_Альтернативы!$C$26),1/MIN(9,1+Оценки_Альтернативы!$C$26-Оценки_Альтернативы!$C$25))</f>
        <v>2</v>
      </c>
      <c r="E56" s="10">
        <f>IF(Оценки_Альтернативы!$C$25&gt;=Оценки_Альтернативы!$C$27,MIN(9,1+Оценки_Альтернативы!$C$25-Оценки_Альтернативы!$C$27),1/MIN(9,1+Оценки_Альтернативы!$C$27-Оценки_Альтернативы!$C$25))</f>
        <v>0.5</v>
      </c>
    </row>
    <row r="57" spans="1:7" ht="28.5" x14ac:dyDescent="0.25">
      <c r="A57" s="2" t="s">
        <v>19</v>
      </c>
      <c r="B57" s="10">
        <f>IF(Оценки_Альтернативы!$C$26&gt;=Оценки_Альтернативы!$C$24,MIN(9,1+Оценки_Альтернативы!$C$26-Оценки_Альтернативы!$C$24),1/MIN(9,1+Оценки_Альтернативы!$C$24-Оценки_Альтернативы!$C$26))</f>
        <v>0.5</v>
      </c>
      <c r="C57" s="10">
        <f>IF(Оценки_Альтернативы!$C$26&gt;=Оценки_Альтернативы!$C$25,MIN(9,1+Оценки_Альтернативы!$C$26-Оценки_Альтернативы!$C$25),1/MIN(9,1+Оценки_Альтернативы!$C$25-Оценки_Альтернативы!$C$26))</f>
        <v>0.5</v>
      </c>
      <c r="D57" s="10">
        <f>IF(Оценки_Альтернативы!$C$26&gt;=Оценки_Альтернативы!$C$26,MIN(9,1+Оценки_Альтернативы!$C$26-Оценки_Альтернативы!$C$26),1/MIN(9,1+Оценки_Альтернативы!$C$26-Оценки_Альтернативы!$C$26))</f>
        <v>1</v>
      </c>
      <c r="E57" s="10">
        <f>IF(Оценки_Альтернативы!$C$26&gt;=Оценки_Альтернативы!$C$27,MIN(9,1+Оценки_Альтернативы!$C$26-Оценки_Альтернативы!$C$27),1/MIN(9,1+Оценки_Альтернативы!$C$27-Оценки_Альтернативы!$C$26))</f>
        <v>0.33333333333333331</v>
      </c>
    </row>
    <row r="58" spans="1:7" x14ac:dyDescent="0.25">
      <c r="A58" s="2" t="s">
        <v>20</v>
      </c>
      <c r="B58" s="10">
        <f>IF(Оценки_Альтернативы!$C$27&gt;=Оценки_Альтернативы!$C$24,MIN(9,1+Оценки_Альтернативы!$C$27-Оценки_Альтернативы!$C$24),1/MIN(9,1+Оценки_Альтернативы!$C$24-Оценки_Альтернативы!$C$27))</f>
        <v>2</v>
      </c>
      <c r="C58" s="10">
        <f>IF(Оценки_Альтернативы!$C$27&gt;=Оценки_Альтернативы!$C$25,MIN(9,1+Оценки_Альтернативы!$C$27-Оценки_Альтернативы!$C$25),1/MIN(9,1+Оценки_Альтернативы!$C$25-Оценки_Альтернативы!$C$27))</f>
        <v>2</v>
      </c>
      <c r="D58" s="10">
        <f>IF(Оценки_Альтернативы!$C$27&gt;=Оценки_Альтернативы!$C$26,MIN(9,1+Оценки_Альтернативы!$C$27-Оценки_Альтернативы!$C$26),1/MIN(9,1+Оценки_Альтернативы!$C$26-Оценки_Альтернативы!$C$27))</f>
        <v>3</v>
      </c>
      <c r="E58" s="10">
        <f>IF(Оценки_Альтернативы!$C$27&gt;=Оценки_Альтернативы!$C$27,MIN(9,1+Оценки_Альтернативы!$C$27-Оценки_Альтернативы!$C$27),1/MIN(9,1+Оценки_Альтернативы!$C$27-Оценки_Альтернативы!$C$27))</f>
        <v>1</v>
      </c>
    </row>
    <row r="60" spans="1:7" ht="45" x14ac:dyDescent="0.25">
      <c r="A60" s="4" t="s">
        <v>122</v>
      </c>
      <c r="B60" s="1" t="s">
        <v>129</v>
      </c>
      <c r="C60" s="1" t="s">
        <v>130</v>
      </c>
      <c r="D60" s="1" t="s">
        <v>131</v>
      </c>
      <c r="E60" s="1" t="s">
        <v>132</v>
      </c>
      <c r="F60" s="1" t="s">
        <v>123</v>
      </c>
      <c r="G60" s="1" t="s">
        <v>124</v>
      </c>
    </row>
    <row r="61" spans="1:7" x14ac:dyDescent="0.25">
      <c r="A61" s="2" t="s">
        <v>17</v>
      </c>
      <c r="B61" s="10">
        <f t="shared" ref="B61:E64" si="1">GEOMEAN(B37,B43,B49,B55)</f>
        <v>1</v>
      </c>
      <c r="C61" s="10">
        <f t="shared" si="1"/>
        <v>1.681792830507429</v>
      </c>
      <c r="D61" s="10">
        <f t="shared" si="1"/>
        <v>1.681792830507429</v>
      </c>
      <c r="E61" s="10">
        <f t="shared" si="1"/>
        <v>0.59460355750136051</v>
      </c>
      <c r="F61" s="5">
        <f>GEOMEAN(B61:E61)</f>
        <v>1.1387886347566916</v>
      </c>
      <c r="G61" s="6">
        <f>F61/SUM($F$61:$F$64)</f>
        <v>0.2633079735655468</v>
      </c>
    </row>
    <row r="62" spans="1:7" x14ac:dyDescent="0.25">
      <c r="A62" s="2" t="s">
        <v>18</v>
      </c>
      <c r="B62" s="10">
        <f t="shared" si="1"/>
        <v>0.59460355750136051</v>
      </c>
      <c r="C62" s="10">
        <f t="shared" si="1"/>
        <v>1</v>
      </c>
      <c r="D62" s="10">
        <f t="shared" si="1"/>
        <v>1</v>
      </c>
      <c r="E62" s="10">
        <f t="shared" si="1"/>
        <v>0.40824829046386302</v>
      </c>
      <c r="F62" s="5">
        <f>GEOMEAN(B62:E62)</f>
        <v>0.70192056964743377</v>
      </c>
      <c r="G62" s="6">
        <f>F62/SUM($F$61:$F$64)</f>
        <v>0.16229638859833556</v>
      </c>
    </row>
    <row r="63" spans="1:7" ht="28.5" x14ac:dyDescent="0.25">
      <c r="A63" s="2" t="s">
        <v>19</v>
      </c>
      <c r="B63" s="10">
        <f t="shared" si="1"/>
        <v>0.59460355750136051</v>
      </c>
      <c r="C63" s="10">
        <f t="shared" si="1"/>
        <v>1</v>
      </c>
      <c r="D63" s="10">
        <f t="shared" si="1"/>
        <v>1</v>
      </c>
      <c r="E63" s="10">
        <f t="shared" si="1"/>
        <v>0.40824829046386302</v>
      </c>
      <c r="F63" s="5">
        <f>GEOMEAN(B63:E63)</f>
        <v>0.70192056964743377</v>
      </c>
      <c r="G63" s="6">
        <f>F63/SUM($F$61:$F$64)</f>
        <v>0.16229638859833556</v>
      </c>
    </row>
    <row r="64" spans="1:7" x14ac:dyDescent="0.25">
      <c r="A64" s="2" t="s">
        <v>20</v>
      </c>
      <c r="B64" s="10">
        <f t="shared" si="1"/>
        <v>1.681792830507429</v>
      </c>
      <c r="C64" s="10">
        <f t="shared" si="1"/>
        <v>2.4494897427831779</v>
      </c>
      <c r="D64" s="10">
        <f t="shared" si="1"/>
        <v>2.4494897427831779</v>
      </c>
      <c r="E64" s="10">
        <f t="shared" si="1"/>
        <v>1</v>
      </c>
      <c r="F64" s="5">
        <f>GEOMEAN(B64:E64)</f>
        <v>1.7823005322204089</v>
      </c>
      <c r="G64" s="6">
        <f>F64/SUM($F$61:$F$64)</f>
        <v>0.41209924923778207</v>
      </c>
    </row>
    <row r="65" spans="1:5" x14ac:dyDescent="0.25">
      <c r="A65" s="2" t="s">
        <v>125</v>
      </c>
      <c r="B65" s="5">
        <f>SUM(B61:B64)*G61+SUM(C61:C64)*G62+SUM(D61:D64)*G63+SUM(E61:E64)*G64</f>
        <v>4.0030477464503091</v>
      </c>
    </row>
    <row r="66" spans="1:5" x14ac:dyDescent="0.25">
      <c r="A66" s="2" t="s">
        <v>126</v>
      </c>
      <c r="B66" s="5">
        <f>(B65-4)/(4-1)</f>
        <v>1.0159154834363804E-3</v>
      </c>
    </row>
    <row r="67" spans="1:5" ht="42.75" x14ac:dyDescent="0.25">
      <c r="A67" s="2" t="s">
        <v>127</v>
      </c>
      <c r="B67" s="5">
        <f>B66/0.9</f>
        <v>1.1287949815959781E-3</v>
      </c>
      <c r="C67" s="2" t="str">
        <f>IF(B67&lt;=0.1,"согласовано (ОС ≤ 0,10)","ОС &gt; 0,10 — пересмотреть")</f>
        <v>согласовано (ОС ≤ 0,10)</v>
      </c>
    </row>
    <row r="69" spans="1:5" ht="30" x14ac:dyDescent="0.25">
      <c r="A69" s="4" t="s">
        <v>133</v>
      </c>
    </row>
    <row r="70" spans="1:5" x14ac:dyDescent="0.25">
      <c r="A70" s="4" t="s">
        <v>114</v>
      </c>
      <c r="B70" s="1" t="s">
        <v>129</v>
      </c>
      <c r="C70" s="1" t="s">
        <v>130</v>
      </c>
      <c r="D70" s="1" t="s">
        <v>131</v>
      </c>
      <c r="E70" s="1" t="s">
        <v>132</v>
      </c>
    </row>
    <row r="71" spans="1:5" x14ac:dyDescent="0.25">
      <c r="A71" s="2" t="s">
        <v>17</v>
      </c>
      <c r="B71" s="10">
        <f>IF(Оценки_Альтернативы!$F$3&gt;=Оценки_Альтернативы!$F$3,MIN(9,1+Оценки_Альтернативы!$F$3-Оценки_Альтернативы!$F$3),1/MIN(9,1+Оценки_Альтернативы!$F$3-Оценки_Альтернативы!$F$3))</f>
        <v>1</v>
      </c>
      <c r="C71" s="10">
        <f>IF(Оценки_Альтернативы!$F$3&gt;=Оценки_Альтернативы!$F$4,MIN(9,1+Оценки_Альтернативы!$F$3-Оценки_Альтернативы!$F$4),1/MIN(9,1+Оценки_Альтернативы!$F$4-Оценки_Альтернативы!$F$3))</f>
        <v>0.5</v>
      </c>
      <c r="D71" s="10">
        <f>IF(Оценки_Альтернативы!$F$3&gt;=Оценки_Альтернативы!$F$5,MIN(9,1+Оценки_Альтернативы!$F$3-Оценки_Альтернативы!$F$5),1/MIN(9,1+Оценки_Альтернативы!$F$5-Оценки_Альтернативы!$F$3))</f>
        <v>2</v>
      </c>
      <c r="E71" s="10">
        <f>IF(Оценки_Альтернативы!$F$3&gt;=Оценки_Альтернативы!$F$6,MIN(9,1+Оценки_Альтернативы!$F$3-Оценки_Альтернативы!$F$6),1/MIN(9,1+Оценки_Альтернативы!$F$6-Оценки_Альтернативы!$F$3))</f>
        <v>0.33333333333333331</v>
      </c>
    </row>
    <row r="72" spans="1:5" x14ac:dyDescent="0.25">
      <c r="A72" s="2" t="s">
        <v>18</v>
      </c>
      <c r="B72" s="10">
        <f>IF(Оценки_Альтернативы!$F$4&gt;=Оценки_Альтернативы!$F$3,MIN(9,1+Оценки_Альтернативы!$F$4-Оценки_Альтернативы!$F$3),1/MIN(9,1+Оценки_Альтернативы!$F$3-Оценки_Альтернативы!$F$4))</f>
        <v>2</v>
      </c>
      <c r="C72" s="10">
        <f>IF(Оценки_Альтернативы!$F$4&gt;=Оценки_Альтернативы!$F$4,MIN(9,1+Оценки_Альтернативы!$F$4-Оценки_Альтернативы!$F$4),1/MIN(9,1+Оценки_Альтернативы!$F$4-Оценки_Альтернативы!$F$4))</f>
        <v>1</v>
      </c>
      <c r="D72" s="10">
        <f>IF(Оценки_Альтернативы!$F$4&gt;=Оценки_Альтернативы!$F$5,MIN(9,1+Оценки_Альтернативы!$F$4-Оценки_Альтернативы!$F$5),1/MIN(9,1+Оценки_Альтернативы!$F$5-Оценки_Альтернативы!$F$4))</f>
        <v>3</v>
      </c>
      <c r="E72" s="10">
        <f>IF(Оценки_Альтернативы!$F$4&gt;=Оценки_Альтернативы!$F$6,MIN(9,1+Оценки_Альтернативы!$F$4-Оценки_Альтернативы!$F$6),1/MIN(9,1+Оценки_Альтернативы!$F$6-Оценки_Альтернативы!$F$4))</f>
        <v>0.5</v>
      </c>
    </row>
    <row r="73" spans="1:5" ht="28.5" x14ac:dyDescent="0.25">
      <c r="A73" s="2" t="s">
        <v>19</v>
      </c>
      <c r="B73" s="10">
        <f>IF(Оценки_Альтернативы!$F$5&gt;=Оценки_Альтернативы!$F$3,MIN(9,1+Оценки_Альтернативы!$F$5-Оценки_Альтернативы!$F$3),1/MIN(9,1+Оценки_Альтернативы!$F$3-Оценки_Альтернативы!$F$5))</f>
        <v>0.5</v>
      </c>
      <c r="C73" s="10">
        <f>IF(Оценки_Альтернативы!$F$5&gt;=Оценки_Альтернативы!$F$4,MIN(9,1+Оценки_Альтернативы!$F$5-Оценки_Альтернативы!$F$4),1/MIN(9,1+Оценки_Альтернативы!$F$4-Оценки_Альтернативы!$F$5))</f>
        <v>0.33333333333333331</v>
      </c>
      <c r="D73" s="10">
        <f>IF(Оценки_Альтернативы!$F$5&gt;=Оценки_Альтернативы!$F$5,MIN(9,1+Оценки_Альтернативы!$F$5-Оценки_Альтернативы!$F$5),1/MIN(9,1+Оценки_Альтернативы!$F$5-Оценки_Альтернативы!$F$5))</f>
        <v>1</v>
      </c>
      <c r="E73" s="10">
        <f>IF(Оценки_Альтернативы!$F$5&gt;=Оценки_Альтернативы!$F$6,MIN(9,1+Оценки_Альтернативы!$F$5-Оценки_Альтернативы!$F$6),1/MIN(9,1+Оценки_Альтернативы!$F$6-Оценки_Альтернативы!$F$5))</f>
        <v>0.25</v>
      </c>
    </row>
    <row r="74" spans="1:5" x14ac:dyDescent="0.25">
      <c r="A74" s="2" t="s">
        <v>20</v>
      </c>
      <c r="B74" s="10">
        <f>IF(Оценки_Альтернативы!$F$6&gt;=Оценки_Альтернативы!$F$3,MIN(9,1+Оценки_Альтернативы!$F$6-Оценки_Альтернативы!$F$3),1/MIN(9,1+Оценки_Альтернативы!$F$3-Оценки_Альтернативы!$F$6))</f>
        <v>3</v>
      </c>
      <c r="C74" s="10">
        <f>IF(Оценки_Альтернативы!$F$6&gt;=Оценки_Альтернативы!$F$4,MIN(9,1+Оценки_Альтернативы!$F$6-Оценки_Альтернативы!$F$4),1/MIN(9,1+Оценки_Альтернативы!$F$4-Оценки_Альтернативы!$F$6))</f>
        <v>2</v>
      </c>
      <c r="D74" s="10">
        <f>IF(Оценки_Альтернативы!$F$6&gt;=Оценки_Альтернативы!$F$5,MIN(9,1+Оценки_Альтернативы!$F$6-Оценки_Альтернативы!$F$5),1/MIN(9,1+Оценки_Альтернативы!$F$5-Оценки_Альтернативы!$F$6))</f>
        <v>4</v>
      </c>
      <c r="E74" s="10">
        <f>IF(Оценки_Альтернативы!$F$6&gt;=Оценки_Альтернативы!$F$6,MIN(9,1+Оценки_Альтернативы!$F$6-Оценки_Альтернативы!$F$6),1/MIN(9,1+Оценки_Альтернативы!$F$6-Оценки_Альтернативы!$F$6))</f>
        <v>1</v>
      </c>
    </row>
    <row r="76" spans="1:5" x14ac:dyDescent="0.25">
      <c r="A76" s="4" t="s">
        <v>119</v>
      </c>
      <c r="B76" s="1" t="s">
        <v>129</v>
      </c>
      <c r="C76" s="1" t="s">
        <v>130</v>
      </c>
      <c r="D76" s="1" t="s">
        <v>131</v>
      </c>
      <c r="E76" s="1" t="s">
        <v>132</v>
      </c>
    </row>
    <row r="77" spans="1:5" x14ac:dyDescent="0.25">
      <c r="A77" s="2" t="s">
        <v>17</v>
      </c>
      <c r="B77" s="10">
        <f>IF(Оценки_Альтернативы!$F$10&gt;=Оценки_Альтернативы!$F$10,MIN(9,1+Оценки_Альтернативы!$F$10-Оценки_Альтернативы!$F$10),1/MIN(9,1+Оценки_Альтернативы!$F$10-Оценки_Альтернативы!$F$10))</f>
        <v>1</v>
      </c>
      <c r="C77" s="10">
        <f>IF(Оценки_Альтернативы!$F$10&gt;=Оценки_Альтернативы!$F$11,MIN(9,1+Оценки_Альтернативы!$F$10-Оценки_Альтернативы!$F$11),1/MIN(9,1+Оценки_Альтернативы!$F$11-Оценки_Альтернативы!$F$10))</f>
        <v>0.33333333333333331</v>
      </c>
      <c r="D77" s="10">
        <f>IF(Оценки_Альтернативы!$F$10&gt;=Оценки_Альтернативы!$F$12,MIN(9,1+Оценки_Альтернативы!$F$10-Оценки_Альтернативы!$F$12),1/MIN(9,1+Оценки_Альтернативы!$F$12-Оценки_Альтернативы!$F$10))</f>
        <v>2</v>
      </c>
      <c r="E77" s="10">
        <f>IF(Оценки_Альтернативы!$F$10&gt;=Оценки_Альтернативы!$F$13,MIN(9,1+Оценки_Альтернативы!$F$10-Оценки_Альтернативы!$F$13),1/MIN(9,1+Оценки_Альтернативы!$F$13-Оценки_Альтернативы!$F$10))</f>
        <v>0.33333333333333331</v>
      </c>
    </row>
    <row r="78" spans="1:5" x14ac:dyDescent="0.25">
      <c r="A78" s="2" t="s">
        <v>18</v>
      </c>
      <c r="B78" s="10">
        <f>IF(Оценки_Альтернативы!$F$11&gt;=Оценки_Альтернативы!$F$10,MIN(9,1+Оценки_Альтернативы!$F$11-Оценки_Альтернативы!$F$10),1/MIN(9,1+Оценки_Альтернативы!$F$10-Оценки_Альтернативы!$F$11))</f>
        <v>3</v>
      </c>
      <c r="C78" s="10">
        <f>IF(Оценки_Альтернативы!$F$11&gt;=Оценки_Альтернативы!$F$11,MIN(9,1+Оценки_Альтернативы!$F$11-Оценки_Альтернативы!$F$11),1/MIN(9,1+Оценки_Альтернативы!$F$11-Оценки_Альтернативы!$F$11))</f>
        <v>1</v>
      </c>
      <c r="D78" s="10">
        <f>IF(Оценки_Альтернативы!$F$11&gt;=Оценки_Альтернативы!$F$12,MIN(9,1+Оценки_Альтернативы!$F$11-Оценки_Альтернативы!$F$12),1/MIN(9,1+Оценки_Альтернативы!$F$12-Оценки_Альтернативы!$F$11))</f>
        <v>4</v>
      </c>
      <c r="E78" s="10">
        <f>IF(Оценки_Альтернативы!$F$11&gt;=Оценки_Альтернативы!$F$13,MIN(9,1+Оценки_Альтернативы!$F$11-Оценки_Альтернативы!$F$13),1/MIN(9,1+Оценки_Альтернативы!$F$13-Оценки_Альтернативы!$F$11))</f>
        <v>1</v>
      </c>
    </row>
    <row r="79" spans="1:5" ht="28.5" x14ac:dyDescent="0.25">
      <c r="A79" s="2" t="s">
        <v>19</v>
      </c>
      <c r="B79" s="10">
        <f>IF(Оценки_Альтернативы!$F$12&gt;=Оценки_Альтернативы!$F$10,MIN(9,1+Оценки_Альтернативы!$F$12-Оценки_Альтернативы!$F$10),1/MIN(9,1+Оценки_Альтернативы!$F$10-Оценки_Альтернативы!$F$12))</f>
        <v>0.5</v>
      </c>
      <c r="C79" s="10">
        <f>IF(Оценки_Альтернативы!$F$12&gt;=Оценки_Альтернативы!$F$11,MIN(9,1+Оценки_Альтернативы!$F$12-Оценки_Альтернативы!$F$11),1/MIN(9,1+Оценки_Альтернативы!$F$11-Оценки_Альтернативы!$F$12))</f>
        <v>0.25</v>
      </c>
      <c r="D79" s="10">
        <f>IF(Оценки_Альтернативы!$F$12&gt;=Оценки_Альтернативы!$F$12,MIN(9,1+Оценки_Альтернативы!$F$12-Оценки_Альтернативы!$F$12),1/MIN(9,1+Оценки_Альтернативы!$F$12-Оценки_Альтернативы!$F$12))</f>
        <v>1</v>
      </c>
      <c r="E79" s="10">
        <f>IF(Оценки_Альтернативы!$F$12&gt;=Оценки_Альтернативы!$F$13,MIN(9,1+Оценки_Альтернативы!$F$12-Оценки_Альтернативы!$F$13),1/MIN(9,1+Оценки_Альтернативы!$F$13-Оценки_Альтернативы!$F$12))</f>
        <v>0.25</v>
      </c>
    </row>
    <row r="80" spans="1:5" x14ac:dyDescent="0.25">
      <c r="A80" s="2" t="s">
        <v>20</v>
      </c>
      <c r="B80" s="10">
        <f>IF(Оценки_Альтернативы!$F$13&gt;=Оценки_Альтернативы!$F$10,MIN(9,1+Оценки_Альтернативы!$F$13-Оценки_Альтернативы!$F$10),1/MIN(9,1+Оценки_Альтернативы!$F$10-Оценки_Альтернативы!$F$13))</f>
        <v>3</v>
      </c>
      <c r="C80" s="10">
        <f>IF(Оценки_Альтернативы!$F$13&gt;=Оценки_Альтернативы!$F$11,MIN(9,1+Оценки_Альтернативы!$F$13-Оценки_Альтернативы!$F$11),1/MIN(9,1+Оценки_Альтернативы!$F$11-Оценки_Альтернативы!$F$13))</f>
        <v>1</v>
      </c>
      <c r="D80" s="10">
        <f>IF(Оценки_Альтернативы!$F$13&gt;=Оценки_Альтернативы!$F$12,MIN(9,1+Оценки_Альтернативы!$F$13-Оценки_Альтернативы!$F$12),1/MIN(9,1+Оценки_Альтернативы!$F$12-Оценки_Альтернативы!$F$13))</f>
        <v>4</v>
      </c>
      <c r="E80" s="10">
        <f>IF(Оценки_Альтернативы!$F$13&gt;=Оценки_Альтернативы!$F$13,MIN(9,1+Оценки_Альтернативы!$F$13-Оценки_Альтернативы!$F$13),1/MIN(9,1+Оценки_Альтернативы!$F$13-Оценки_Альтернативы!$F$13))</f>
        <v>1</v>
      </c>
    </row>
    <row r="82" spans="1:7" x14ac:dyDescent="0.25">
      <c r="A82" s="4" t="s">
        <v>120</v>
      </c>
      <c r="B82" s="1" t="s">
        <v>129</v>
      </c>
      <c r="C82" s="1" t="s">
        <v>130</v>
      </c>
      <c r="D82" s="1" t="s">
        <v>131</v>
      </c>
      <c r="E82" s="1" t="s">
        <v>132</v>
      </c>
    </row>
    <row r="83" spans="1:7" x14ac:dyDescent="0.25">
      <c r="A83" s="2" t="s">
        <v>17</v>
      </c>
      <c r="B83" s="10">
        <f>IF(Оценки_Альтернативы!$F$17&gt;=Оценки_Альтернативы!$F$17,MIN(9,1+Оценки_Альтернативы!$F$17-Оценки_Альтернативы!$F$17),1/MIN(9,1+Оценки_Альтернативы!$F$17-Оценки_Альтернативы!$F$17))</f>
        <v>1</v>
      </c>
      <c r="C83" s="10">
        <f>IF(Оценки_Альтернативы!$F$17&gt;=Оценки_Альтернативы!$F$18,MIN(9,1+Оценки_Альтернативы!$F$17-Оценки_Альтернативы!$F$18),1/MIN(9,1+Оценки_Альтернативы!$F$18-Оценки_Альтернативы!$F$17))</f>
        <v>0.33333333333333331</v>
      </c>
      <c r="D83" s="10">
        <f>IF(Оценки_Альтернативы!$F$17&gt;=Оценки_Альтернативы!$F$19,MIN(9,1+Оценки_Альтернативы!$F$17-Оценки_Альтернативы!$F$19),1/MIN(9,1+Оценки_Альтернативы!$F$19-Оценки_Альтернативы!$F$17))</f>
        <v>1</v>
      </c>
      <c r="E83" s="10">
        <f>IF(Оценки_Альтернативы!$F$17&gt;=Оценки_Альтернативы!$F$20,MIN(9,1+Оценки_Альтернативы!$F$17-Оценки_Альтернативы!$F$20),1/MIN(9,1+Оценки_Альтернативы!$F$20-Оценки_Альтернативы!$F$17))</f>
        <v>0.33333333333333331</v>
      </c>
    </row>
    <row r="84" spans="1:7" x14ac:dyDescent="0.25">
      <c r="A84" s="2" t="s">
        <v>18</v>
      </c>
      <c r="B84" s="10">
        <f>IF(Оценки_Альтернативы!$F$18&gt;=Оценки_Альтернативы!$F$17,MIN(9,1+Оценки_Альтернативы!$F$18-Оценки_Альтернативы!$F$17),1/MIN(9,1+Оценки_Альтернативы!$F$17-Оценки_Альтернативы!$F$18))</f>
        <v>3</v>
      </c>
      <c r="C84" s="10">
        <f>IF(Оценки_Альтернативы!$F$18&gt;=Оценки_Альтернативы!$F$18,MIN(9,1+Оценки_Альтернативы!$F$18-Оценки_Альтернативы!$F$18),1/MIN(9,1+Оценки_Альтернативы!$F$18-Оценки_Альтернативы!$F$18))</f>
        <v>1</v>
      </c>
      <c r="D84" s="10">
        <f>IF(Оценки_Альтернативы!$F$18&gt;=Оценки_Альтернативы!$F$19,MIN(9,1+Оценки_Альтернативы!$F$18-Оценки_Альтернативы!$F$19),1/MIN(9,1+Оценки_Альтернативы!$F$19-Оценки_Альтернативы!$F$18))</f>
        <v>3</v>
      </c>
      <c r="E84" s="10">
        <f>IF(Оценки_Альтернативы!$F$18&gt;=Оценки_Альтернативы!$F$20,MIN(9,1+Оценки_Альтернативы!$F$18-Оценки_Альтернативы!$F$20),1/MIN(9,1+Оценки_Альтернативы!$F$20-Оценки_Альтернативы!$F$18))</f>
        <v>1</v>
      </c>
    </row>
    <row r="85" spans="1:7" ht="28.5" x14ac:dyDescent="0.25">
      <c r="A85" s="2" t="s">
        <v>19</v>
      </c>
      <c r="B85" s="10">
        <f>IF(Оценки_Альтернативы!$F$19&gt;=Оценки_Альтернативы!$F$17,MIN(9,1+Оценки_Альтернативы!$F$19-Оценки_Альтернативы!$F$17),1/MIN(9,1+Оценки_Альтернативы!$F$17-Оценки_Альтернативы!$F$19))</f>
        <v>1</v>
      </c>
      <c r="C85" s="10">
        <f>IF(Оценки_Альтернативы!$F$19&gt;=Оценки_Альтернативы!$F$18,MIN(9,1+Оценки_Альтернативы!$F$19-Оценки_Альтернативы!$F$18),1/MIN(9,1+Оценки_Альтернативы!$F$18-Оценки_Альтернативы!$F$19))</f>
        <v>0.33333333333333331</v>
      </c>
      <c r="D85" s="10">
        <f>IF(Оценки_Альтернативы!$F$19&gt;=Оценки_Альтернативы!$F$19,MIN(9,1+Оценки_Альтернативы!$F$19-Оценки_Альтернативы!$F$19),1/MIN(9,1+Оценки_Альтернативы!$F$19-Оценки_Альтернативы!$F$19))</f>
        <v>1</v>
      </c>
      <c r="E85" s="10">
        <f>IF(Оценки_Альтернативы!$F$19&gt;=Оценки_Альтернативы!$F$20,MIN(9,1+Оценки_Альтернативы!$F$19-Оценки_Альтернативы!$F$20),1/MIN(9,1+Оценки_Альтернативы!$F$20-Оценки_Альтернативы!$F$19))</f>
        <v>0.33333333333333331</v>
      </c>
    </row>
    <row r="86" spans="1:7" x14ac:dyDescent="0.25">
      <c r="A86" s="2" t="s">
        <v>20</v>
      </c>
      <c r="B86" s="10">
        <f>IF(Оценки_Альтернативы!$F$20&gt;=Оценки_Альтернативы!$F$17,MIN(9,1+Оценки_Альтернативы!$F$20-Оценки_Альтернативы!$F$17),1/MIN(9,1+Оценки_Альтернативы!$F$17-Оценки_Альтернативы!$F$20))</f>
        <v>3</v>
      </c>
      <c r="C86" s="10">
        <f>IF(Оценки_Альтернативы!$F$20&gt;=Оценки_Альтернативы!$F$18,MIN(9,1+Оценки_Альтернативы!$F$20-Оценки_Альтернативы!$F$18),1/MIN(9,1+Оценки_Альтернативы!$F$18-Оценки_Альтернативы!$F$20))</f>
        <v>1</v>
      </c>
      <c r="D86" s="10">
        <f>IF(Оценки_Альтернативы!$F$20&gt;=Оценки_Альтернативы!$F$19,MIN(9,1+Оценки_Альтернативы!$F$20-Оценки_Альтернативы!$F$19),1/MIN(9,1+Оценки_Альтернативы!$F$19-Оценки_Альтернативы!$F$20))</f>
        <v>3</v>
      </c>
      <c r="E86" s="10">
        <f>IF(Оценки_Альтернативы!$F$20&gt;=Оценки_Альтернативы!$F$20,MIN(9,1+Оценки_Альтернативы!$F$20-Оценки_Альтернативы!$F$20),1/MIN(9,1+Оценки_Альтернативы!$F$20-Оценки_Альтернативы!$F$20))</f>
        <v>1</v>
      </c>
    </row>
    <row r="88" spans="1:7" x14ac:dyDescent="0.25">
      <c r="A88" s="4" t="s">
        <v>121</v>
      </c>
      <c r="B88" s="1" t="s">
        <v>129</v>
      </c>
      <c r="C88" s="1" t="s">
        <v>130</v>
      </c>
      <c r="D88" s="1" t="s">
        <v>131</v>
      </c>
      <c r="E88" s="1" t="s">
        <v>132</v>
      </c>
    </row>
    <row r="89" spans="1:7" x14ac:dyDescent="0.25">
      <c r="A89" s="2" t="s">
        <v>17</v>
      </c>
      <c r="B89" s="10">
        <f>IF(Оценки_Альтернативы!$F$24&gt;=Оценки_Альтернативы!$F$24,MIN(9,1+Оценки_Альтернативы!$F$24-Оценки_Альтернативы!$F$24),1/MIN(9,1+Оценки_Альтернативы!$F$24-Оценки_Альтернативы!$F$24))</f>
        <v>1</v>
      </c>
      <c r="C89" s="10">
        <f>IF(Оценки_Альтернативы!$F$24&gt;=Оценки_Альтернативы!$F$25,MIN(9,1+Оценки_Альтернативы!$F$24-Оценки_Альтернативы!$F$25),1/MIN(9,1+Оценки_Альтернативы!$F$25-Оценки_Альтернативы!$F$24))</f>
        <v>0.5</v>
      </c>
      <c r="D89" s="10">
        <f>IF(Оценки_Альтернативы!$F$24&gt;=Оценки_Альтернативы!$F$26,MIN(9,1+Оценки_Альтернативы!$F$24-Оценки_Альтернативы!$F$26),1/MIN(9,1+Оценки_Альтернативы!$F$26-Оценки_Альтернативы!$F$24))</f>
        <v>3</v>
      </c>
      <c r="E89" s="10">
        <f>IF(Оценки_Альтернативы!$F$24&gt;=Оценки_Альтернативы!$F$27,MIN(9,1+Оценки_Альтернативы!$F$24-Оценки_Альтернативы!$F$27),1/MIN(9,1+Оценки_Альтернативы!$F$27-Оценки_Альтернативы!$F$24))</f>
        <v>0.33333333333333331</v>
      </c>
    </row>
    <row r="90" spans="1:7" x14ac:dyDescent="0.25">
      <c r="A90" s="2" t="s">
        <v>18</v>
      </c>
      <c r="B90" s="10">
        <f>IF(Оценки_Альтернативы!$F$25&gt;=Оценки_Альтернативы!$F$24,MIN(9,1+Оценки_Альтернативы!$F$25-Оценки_Альтернативы!$F$24),1/MIN(9,1+Оценки_Альтернативы!$F$24-Оценки_Альтернативы!$F$25))</f>
        <v>2</v>
      </c>
      <c r="C90" s="10">
        <f>IF(Оценки_Альтернативы!$F$25&gt;=Оценки_Альтернативы!$F$25,MIN(9,1+Оценки_Альтернативы!$F$25-Оценки_Альтернативы!$F$25),1/MIN(9,1+Оценки_Альтернативы!$F$25-Оценки_Альтернативы!$F$25))</f>
        <v>1</v>
      </c>
      <c r="D90" s="10">
        <f>IF(Оценки_Альтернативы!$F$25&gt;=Оценки_Альтернативы!$F$26,MIN(9,1+Оценки_Альтернативы!$F$25-Оценки_Альтернативы!$F$26),1/MIN(9,1+Оценки_Альтернативы!$F$26-Оценки_Альтернативы!$F$25))</f>
        <v>4</v>
      </c>
      <c r="E90" s="10">
        <f>IF(Оценки_Альтернативы!$F$25&gt;=Оценки_Альтернативы!$F$27,MIN(9,1+Оценки_Альтернативы!$F$25-Оценки_Альтернативы!$F$27),1/MIN(9,1+Оценки_Альтернативы!$F$27-Оценки_Альтернативы!$F$25))</f>
        <v>0.5</v>
      </c>
    </row>
    <row r="91" spans="1:7" ht="28.5" x14ac:dyDescent="0.25">
      <c r="A91" s="2" t="s">
        <v>19</v>
      </c>
      <c r="B91" s="10">
        <f>IF(Оценки_Альтернативы!$F$26&gt;=Оценки_Альтернативы!$F$24,MIN(9,1+Оценки_Альтернативы!$F$26-Оценки_Альтернативы!$F$24),1/MIN(9,1+Оценки_Альтернативы!$F$24-Оценки_Альтернативы!$F$26))</f>
        <v>0.33333333333333331</v>
      </c>
      <c r="C91" s="10">
        <f>IF(Оценки_Альтернативы!$F$26&gt;=Оценки_Альтернативы!$F$25,MIN(9,1+Оценки_Альтернативы!$F$26-Оценки_Альтернативы!$F$25),1/MIN(9,1+Оценки_Альтернативы!$F$25-Оценки_Альтернативы!$F$26))</f>
        <v>0.25</v>
      </c>
      <c r="D91" s="10">
        <f>IF(Оценки_Альтернативы!$F$26&gt;=Оценки_Альтернативы!$F$26,MIN(9,1+Оценки_Альтернативы!$F$26-Оценки_Альтернативы!$F$26),1/MIN(9,1+Оценки_Альтернативы!$F$26-Оценки_Альтернативы!$F$26))</f>
        <v>1</v>
      </c>
      <c r="E91" s="10">
        <f>IF(Оценки_Альтернативы!$F$26&gt;=Оценки_Альтернативы!$F$27,MIN(9,1+Оценки_Альтернативы!$F$26-Оценки_Альтернативы!$F$27),1/MIN(9,1+Оценки_Альтернативы!$F$27-Оценки_Альтернативы!$F$26))</f>
        <v>0.2</v>
      </c>
    </row>
    <row r="92" spans="1:7" x14ac:dyDescent="0.25">
      <c r="A92" s="2" t="s">
        <v>20</v>
      </c>
      <c r="B92" s="10">
        <f>IF(Оценки_Альтернативы!$F$27&gt;=Оценки_Альтернативы!$F$24,MIN(9,1+Оценки_Альтернативы!$F$27-Оценки_Альтернативы!$F$24),1/MIN(9,1+Оценки_Альтернативы!$F$24-Оценки_Альтернативы!$F$27))</f>
        <v>3</v>
      </c>
      <c r="C92" s="10">
        <f>IF(Оценки_Альтернативы!$F$27&gt;=Оценки_Альтернативы!$F$25,MIN(9,1+Оценки_Альтернативы!$F$27-Оценки_Альтернативы!$F$25),1/MIN(9,1+Оценки_Альтернативы!$F$25-Оценки_Альтернативы!$F$27))</f>
        <v>2</v>
      </c>
      <c r="D92" s="10">
        <f>IF(Оценки_Альтернативы!$F$27&gt;=Оценки_Альтернативы!$F$26,MIN(9,1+Оценки_Альтернативы!$F$27-Оценки_Альтернативы!$F$26),1/MIN(9,1+Оценки_Альтернативы!$F$26-Оценки_Альтернативы!$F$27))</f>
        <v>5</v>
      </c>
      <c r="E92" s="10">
        <f>IF(Оценки_Альтернативы!$F$27&gt;=Оценки_Альтернативы!$F$27,MIN(9,1+Оценки_Альтернативы!$F$27-Оценки_Альтернативы!$F$27),1/MIN(9,1+Оценки_Альтернативы!$F$27-Оценки_Альтернативы!$F$27))</f>
        <v>1</v>
      </c>
    </row>
    <row r="94" spans="1:7" ht="45" x14ac:dyDescent="0.25">
      <c r="A94" s="4" t="s">
        <v>122</v>
      </c>
      <c r="B94" s="1" t="s">
        <v>129</v>
      </c>
      <c r="C94" s="1" t="s">
        <v>130</v>
      </c>
      <c r="D94" s="1" t="s">
        <v>131</v>
      </c>
      <c r="E94" s="1" t="s">
        <v>132</v>
      </c>
      <c r="F94" s="1" t="s">
        <v>123</v>
      </c>
      <c r="G94" s="1" t="s">
        <v>124</v>
      </c>
    </row>
    <row r="95" spans="1:7" x14ac:dyDescent="0.25">
      <c r="A95" s="2" t="s">
        <v>17</v>
      </c>
      <c r="B95" s="10">
        <f t="shared" ref="B95:E98" si="2">GEOMEAN(B71,B77,B83,B89)</f>
        <v>1</v>
      </c>
      <c r="C95" s="10">
        <f t="shared" si="2"/>
        <v>0.40824829046386302</v>
      </c>
      <c r="D95" s="10">
        <f t="shared" si="2"/>
        <v>1.8612097182041991</v>
      </c>
      <c r="E95" s="10">
        <f t="shared" si="2"/>
        <v>0.33333333333333331</v>
      </c>
      <c r="F95" s="5">
        <f>GEOMEAN(B95:E95)</f>
        <v>0.70941375996360656</v>
      </c>
      <c r="G95" s="6">
        <f>F95/SUM($F$95:$F$98)</f>
        <v>0.14961689332242042</v>
      </c>
    </row>
    <row r="96" spans="1:7" x14ac:dyDescent="0.25">
      <c r="A96" s="2" t="s">
        <v>18</v>
      </c>
      <c r="B96" s="10">
        <f t="shared" si="2"/>
        <v>2.4494897427831779</v>
      </c>
      <c r="C96" s="10">
        <f t="shared" si="2"/>
        <v>1</v>
      </c>
      <c r="D96" s="10">
        <f t="shared" si="2"/>
        <v>3.4641016151377548</v>
      </c>
      <c r="E96" s="10">
        <f t="shared" si="2"/>
        <v>0.70710678118654757</v>
      </c>
      <c r="F96" s="5">
        <f>GEOMEAN(B96:E96)</f>
        <v>1.5650845800732873</v>
      </c>
      <c r="G96" s="6">
        <f>F96/SUM($F$95:$F$98)</f>
        <v>0.33007971634128286</v>
      </c>
    </row>
    <row r="97" spans="1:7" ht="28.5" x14ac:dyDescent="0.25">
      <c r="A97" s="2" t="s">
        <v>19</v>
      </c>
      <c r="B97" s="10">
        <f t="shared" si="2"/>
        <v>0.537284965911771</v>
      </c>
      <c r="C97" s="10">
        <f t="shared" si="2"/>
        <v>0.28867513459481287</v>
      </c>
      <c r="D97" s="10">
        <f t="shared" si="2"/>
        <v>1</v>
      </c>
      <c r="E97" s="10">
        <f t="shared" si="2"/>
        <v>0.25406637407730737</v>
      </c>
      <c r="F97" s="5">
        <f>GEOMEAN(B97:E97)</f>
        <v>0.44554370681968436</v>
      </c>
      <c r="G97" s="6">
        <f>F97/SUM($F$95:$F$98)</f>
        <v>9.3966129522404837E-2</v>
      </c>
    </row>
    <row r="98" spans="1:7" x14ac:dyDescent="0.25">
      <c r="A98" s="2" t="s">
        <v>20</v>
      </c>
      <c r="B98" s="10">
        <f t="shared" si="2"/>
        <v>3</v>
      </c>
      <c r="C98" s="10">
        <f t="shared" si="2"/>
        <v>1.4142135623730949</v>
      </c>
      <c r="D98" s="10">
        <f t="shared" si="2"/>
        <v>3.9359793425308607</v>
      </c>
      <c r="E98" s="10">
        <f t="shared" si="2"/>
        <v>1</v>
      </c>
      <c r="F98" s="5">
        <f>GEOMEAN(B98:E98)</f>
        <v>2.021493111441615</v>
      </c>
      <c r="G98" s="6">
        <f>F98/SUM($F$95:$F$98)</f>
        <v>0.42633726081389189</v>
      </c>
    </row>
    <row r="99" spans="1:7" x14ac:dyDescent="0.25">
      <c r="A99" s="2" t="s">
        <v>125</v>
      </c>
      <c r="B99" s="5">
        <f>SUM(B95:B98)*G95+SUM(C95:C98)*G96+SUM(D95:D98)*G97+SUM(E95:E98)*G98</f>
        <v>4.0147101205532865</v>
      </c>
    </row>
    <row r="100" spans="1:7" x14ac:dyDescent="0.25">
      <c r="A100" s="2" t="s">
        <v>126</v>
      </c>
      <c r="B100" s="5">
        <f>(B99-4)/(4-1)</f>
        <v>4.9033735177621551E-3</v>
      </c>
    </row>
    <row r="101" spans="1:7" ht="42.75" x14ac:dyDescent="0.25">
      <c r="A101" s="2" t="s">
        <v>127</v>
      </c>
      <c r="B101" s="5">
        <f>B100/0.9</f>
        <v>5.4481927975135059E-3</v>
      </c>
      <c r="C101" s="2" t="str">
        <f>IF(B101&lt;=0.1,"согласовано (ОС ≤ 0,10)","ОС &gt; 0,10 — пересмотреть")</f>
        <v>согласовано (ОС ≤ 0,10)</v>
      </c>
    </row>
    <row r="103" spans="1:7" ht="30" x14ac:dyDescent="0.25">
      <c r="A103" s="4" t="s">
        <v>134</v>
      </c>
    </row>
    <row r="104" spans="1:7" x14ac:dyDescent="0.25">
      <c r="A104" s="4" t="s">
        <v>114</v>
      </c>
      <c r="B104" s="1" t="s">
        <v>129</v>
      </c>
      <c r="C104" s="1" t="s">
        <v>130</v>
      </c>
      <c r="D104" s="1" t="s">
        <v>131</v>
      </c>
      <c r="E104" s="1" t="s">
        <v>132</v>
      </c>
    </row>
    <row r="105" spans="1:7" x14ac:dyDescent="0.25">
      <c r="A105" s="2" t="s">
        <v>17</v>
      </c>
      <c r="B105" s="10">
        <f>IF(Оценки_Альтернативы!$I$3&gt;=Оценки_Альтернативы!$I$3,MIN(9,1+Оценки_Альтернативы!$I$3-Оценки_Альтернативы!$I$3),1/MIN(9,1+Оценки_Альтернативы!$I$3-Оценки_Альтернативы!$I$3))</f>
        <v>1</v>
      </c>
      <c r="C105" s="10">
        <f>IF(Оценки_Альтернативы!$I$3&gt;=Оценки_Альтернативы!$I$4,MIN(9,1+Оценки_Альтернативы!$I$3-Оценки_Альтернативы!$I$4),1/MIN(9,1+Оценки_Альтернативы!$I$4-Оценки_Альтернативы!$I$3))</f>
        <v>0.5</v>
      </c>
      <c r="D105" s="10">
        <f>IF(Оценки_Альтернативы!$I$3&gt;=Оценки_Альтернативы!$I$5,MIN(9,1+Оценки_Альтернативы!$I$3-Оценки_Альтернативы!$I$5),1/MIN(9,1+Оценки_Альтернативы!$I$5-Оценки_Альтернативы!$I$3))</f>
        <v>2</v>
      </c>
      <c r="E105" s="10">
        <f>IF(Оценки_Альтернативы!$I$3&gt;=Оценки_Альтернативы!$I$6,MIN(9,1+Оценки_Альтернативы!$I$3-Оценки_Альтернативы!$I$6),1/MIN(9,1+Оценки_Альтернативы!$I$6-Оценки_Альтернативы!$I$3))</f>
        <v>0.5</v>
      </c>
    </row>
    <row r="106" spans="1:7" x14ac:dyDescent="0.25">
      <c r="A106" s="2" t="s">
        <v>18</v>
      </c>
      <c r="B106" s="10">
        <f>IF(Оценки_Альтернативы!$I$4&gt;=Оценки_Альтернативы!$I$3,MIN(9,1+Оценки_Альтернативы!$I$4-Оценки_Альтернативы!$I$3),1/MIN(9,1+Оценки_Альтернативы!$I$3-Оценки_Альтернативы!$I$4))</f>
        <v>2</v>
      </c>
      <c r="C106" s="10">
        <f>IF(Оценки_Альтернативы!$I$4&gt;=Оценки_Альтернативы!$I$4,MIN(9,1+Оценки_Альтернативы!$I$4-Оценки_Альтернативы!$I$4),1/MIN(9,1+Оценки_Альтернативы!$I$4-Оценки_Альтернативы!$I$4))</f>
        <v>1</v>
      </c>
      <c r="D106" s="10">
        <f>IF(Оценки_Альтернативы!$I$4&gt;=Оценки_Альтернативы!$I$5,MIN(9,1+Оценки_Альтернативы!$I$4-Оценки_Альтернативы!$I$5),1/MIN(9,1+Оценки_Альтернативы!$I$5-Оценки_Альтернативы!$I$4))</f>
        <v>3</v>
      </c>
      <c r="E106" s="10">
        <f>IF(Оценки_Альтернативы!$I$4&gt;=Оценки_Альтернативы!$I$6,MIN(9,1+Оценки_Альтернативы!$I$4-Оценки_Альтернативы!$I$6),1/MIN(9,1+Оценки_Альтернативы!$I$6-Оценки_Альтернативы!$I$4))</f>
        <v>1</v>
      </c>
    </row>
    <row r="107" spans="1:7" ht="28.5" x14ac:dyDescent="0.25">
      <c r="A107" s="2" t="s">
        <v>19</v>
      </c>
      <c r="B107" s="10">
        <f>IF(Оценки_Альтернативы!$I$5&gt;=Оценки_Альтернативы!$I$3,MIN(9,1+Оценки_Альтернативы!$I$5-Оценки_Альтернативы!$I$3),1/MIN(9,1+Оценки_Альтернативы!$I$3-Оценки_Альтернативы!$I$5))</f>
        <v>0.5</v>
      </c>
      <c r="C107" s="10">
        <f>IF(Оценки_Альтернативы!$I$5&gt;=Оценки_Альтернативы!$I$4,MIN(9,1+Оценки_Альтернативы!$I$5-Оценки_Альтернативы!$I$4),1/MIN(9,1+Оценки_Альтернативы!$I$4-Оценки_Альтернативы!$I$5))</f>
        <v>0.33333333333333331</v>
      </c>
      <c r="D107" s="10">
        <f>IF(Оценки_Альтернативы!$I$5&gt;=Оценки_Альтернативы!$I$5,MIN(9,1+Оценки_Альтернативы!$I$5-Оценки_Альтернативы!$I$5),1/MIN(9,1+Оценки_Альтернативы!$I$5-Оценки_Альтернативы!$I$5))</f>
        <v>1</v>
      </c>
      <c r="E107" s="10">
        <f>IF(Оценки_Альтернативы!$I$5&gt;=Оценки_Альтернативы!$I$6,MIN(9,1+Оценки_Альтернативы!$I$5-Оценки_Альтернативы!$I$6),1/MIN(9,1+Оценки_Альтернативы!$I$6-Оценки_Альтернативы!$I$5))</f>
        <v>0.33333333333333331</v>
      </c>
    </row>
    <row r="108" spans="1:7" x14ac:dyDescent="0.25">
      <c r="A108" s="2" t="s">
        <v>20</v>
      </c>
      <c r="B108" s="10">
        <f>IF(Оценки_Альтернативы!$I$6&gt;=Оценки_Альтернативы!$I$3,MIN(9,1+Оценки_Альтернативы!$I$6-Оценки_Альтернативы!$I$3),1/MIN(9,1+Оценки_Альтернативы!$I$3-Оценки_Альтернативы!$I$6))</f>
        <v>2</v>
      </c>
      <c r="C108" s="10">
        <f>IF(Оценки_Альтернативы!$I$6&gt;=Оценки_Альтернативы!$I$4,MIN(9,1+Оценки_Альтернативы!$I$6-Оценки_Альтернативы!$I$4),1/MIN(9,1+Оценки_Альтернативы!$I$4-Оценки_Альтернативы!$I$6))</f>
        <v>1</v>
      </c>
      <c r="D108" s="10">
        <f>IF(Оценки_Альтернативы!$I$6&gt;=Оценки_Альтернативы!$I$5,MIN(9,1+Оценки_Альтернативы!$I$6-Оценки_Альтернативы!$I$5),1/MIN(9,1+Оценки_Альтернативы!$I$5-Оценки_Альтернативы!$I$6))</f>
        <v>3</v>
      </c>
      <c r="E108" s="10">
        <f>IF(Оценки_Альтернативы!$I$6&gt;=Оценки_Альтернативы!$I$6,MIN(9,1+Оценки_Альтернативы!$I$6-Оценки_Альтернативы!$I$6),1/MIN(9,1+Оценки_Альтернативы!$I$6-Оценки_Альтернативы!$I$6))</f>
        <v>1</v>
      </c>
    </row>
    <row r="110" spans="1:7" x14ac:dyDescent="0.25">
      <c r="A110" s="4" t="s">
        <v>119</v>
      </c>
      <c r="B110" s="1" t="s">
        <v>129</v>
      </c>
      <c r="C110" s="1" t="s">
        <v>130</v>
      </c>
      <c r="D110" s="1" t="s">
        <v>131</v>
      </c>
      <c r="E110" s="1" t="s">
        <v>132</v>
      </c>
    </row>
    <row r="111" spans="1:7" x14ac:dyDescent="0.25">
      <c r="A111" s="2" t="s">
        <v>17</v>
      </c>
      <c r="B111" s="10">
        <f>IF(Оценки_Альтернативы!$I$10&gt;=Оценки_Альтернативы!$I$10,MIN(9,1+Оценки_Альтернативы!$I$10-Оценки_Альтернативы!$I$10),1/MIN(9,1+Оценки_Альтернативы!$I$10-Оценки_Альтернативы!$I$10))</f>
        <v>1</v>
      </c>
      <c r="C111" s="10">
        <f>IF(Оценки_Альтернативы!$I$10&gt;=Оценки_Альтернативы!$I$11,MIN(9,1+Оценки_Альтернативы!$I$10-Оценки_Альтернативы!$I$11),1/MIN(9,1+Оценки_Альтернативы!$I$11-Оценки_Альтернативы!$I$10))</f>
        <v>0.25</v>
      </c>
      <c r="D111" s="10">
        <f>IF(Оценки_Альтернативы!$I$10&gt;=Оценки_Альтернативы!$I$12,MIN(9,1+Оценки_Альтернативы!$I$10-Оценки_Альтернативы!$I$12),1/MIN(9,1+Оценки_Альтернативы!$I$12-Оценки_Альтернативы!$I$10))</f>
        <v>2</v>
      </c>
      <c r="E111" s="10">
        <f>IF(Оценки_Альтернативы!$I$10&gt;=Оценки_Альтернативы!$I$13,MIN(9,1+Оценки_Альтернативы!$I$10-Оценки_Альтернативы!$I$13),1/MIN(9,1+Оценки_Альтернативы!$I$13-Оценки_Альтернативы!$I$10))</f>
        <v>0.33333333333333331</v>
      </c>
    </row>
    <row r="112" spans="1:7" x14ac:dyDescent="0.25">
      <c r="A112" s="2" t="s">
        <v>18</v>
      </c>
      <c r="B112" s="10">
        <f>IF(Оценки_Альтернативы!$I$11&gt;=Оценки_Альтернативы!$I$10,MIN(9,1+Оценки_Альтернативы!$I$11-Оценки_Альтернативы!$I$10),1/MIN(9,1+Оценки_Альтернативы!$I$10-Оценки_Альтернативы!$I$11))</f>
        <v>4</v>
      </c>
      <c r="C112" s="10">
        <f>IF(Оценки_Альтернативы!$I$11&gt;=Оценки_Альтернативы!$I$11,MIN(9,1+Оценки_Альтернативы!$I$11-Оценки_Альтернативы!$I$11),1/MIN(9,1+Оценки_Альтернативы!$I$11-Оценки_Альтернативы!$I$11))</f>
        <v>1</v>
      </c>
      <c r="D112" s="10">
        <f>IF(Оценки_Альтернативы!$I$11&gt;=Оценки_Альтернативы!$I$12,MIN(9,1+Оценки_Альтернативы!$I$11-Оценки_Альтернативы!$I$12),1/MIN(9,1+Оценки_Альтернативы!$I$12-Оценки_Альтернативы!$I$11))</f>
        <v>5</v>
      </c>
      <c r="E112" s="10">
        <f>IF(Оценки_Альтернативы!$I$11&gt;=Оценки_Альтернативы!$I$13,MIN(9,1+Оценки_Альтернативы!$I$11-Оценки_Альтернативы!$I$13),1/MIN(9,1+Оценки_Альтернативы!$I$13-Оценки_Альтернативы!$I$11))</f>
        <v>2</v>
      </c>
    </row>
    <row r="113" spans="1:7" ht="28.5" x14ac:dyDescent="0.25">
      <c r="A113" s="2" t="s">
        <v>19</v>
      </c>
      <c r="B113" s="10">
        <f>IF(Оценки_Альтернативы!$I$12&gt;=Оценки_Альтернативы!$I$10,MIN(9,1+Оценки_Альтернативы!$I$12-Оценки_Альтернативы!$I$10),1/MIN(9,1+Оценки_Альтернативы!$I$10-Оценки_Альтернативы!$I$12))</f>
        <v>0.5</v>
      </c>
      <c r="C113" s="10">
        <f>IF(Оценки_Альтернативы!$I$12&gt;=Оценки_Альтернативы!$I$11,MIN(9,1+Оценки_Альтернативы!$I$12-Оценки_Альтернативы!$I$11),1/MIN(9,1+Оценки_Альтернативы!$I$11-Оценки_Альтернативы!$I$12))</f>
        <v>0.2</v>
      </c>
      <c r="D113" s="10">
        <f>IF(Оценки_Альтернативы!$I$12&gt;=Оценки_Альтернативы!$I$12,MIN(9,1+Оценки_Альтернативы!$I$12-Оценки_Альтернативы!$I$12),1/MIN(9,1+Оценки_Альтернативы!$I$12-Оценки_Альтернативы!$I$12))</f>
        <v>1</v>
      </c>
      <c r="E113" s="10">
        <f>IF(Оценки_Альтернативы!$I$12&gt;=Оценки_Альтернативы!$I$13,MIN(9,1+Оценки_Альтернативы!$I$12-Оценки_Альтернативы!$I$13),1/MIN(9,1+Оценки_Альтернативы!$I$13-Оценки_Альтернативы!$I$12))</f>
        <v>0.25</v>
      </c>
    </row>
    <row r="114" spans="1:7" x14ac:dyDescent="0.25">
      <c r="A114" s="2" t="s">
        <v>20</v>
      </c>
      <c r="B114" s="10">
        <f>IF(Оценки_Альтернативы!$I$13&gt;=Оценки_Альтернативы!$I$10,MIN(9,1+Оценки_Альтернативы!$I$13-Оценки_Альтернативы!$I$10),1/MIN(9,1+Оценки_Альтернативы!$I$10-Оценки_Альтернативы!$I$13))</f>
        <v>3</v>
      </c>
      <c r="C114" s="10">
        <f>IF(Оценки_Альтернативы!$I$13&gt;=Оценки_Альтернативы!$I$11,MIN(9,1+Оценки_Альтернативы!$I$13-Оценки_Альтернативы!$I$11),1/MIN(9,1+Оценки_Альтернативы!$I$11-Оценки_Альтернативы!$I$13))</f>
        <v>0.5</v>
      </c>
      <c r="D114" s="10">
        <f>IF(Оценки_Альтернативы!$I$13&gt;=Оценки_Альтернативы!$I$12,MIN(9,1+Оценки_Альтернативы!$I$13-Оценки_Альтернативы!$I$12),1/MIN(9,1+Оценки_Альтернативы!$I$12-Оценки_Альтернативы!$I$13))</f>
        <v>4</v>
      </c>
      <c r="E114" s="10">
        <f>IF(Оценки_Альтернативы!$I$13&gt;=Оценки_Альтернативы!$I$13,MIN(9,1+Оценки_Альтернативы!$I$13-Оценки_Альтернативы!$I$13),1/MIN(9,1+Оценки_Альтернативы!$I$13-Оценки_Альтернативы!$I$13))</f>
        <v>1</v>
      </c>
    </row>
    <row r="116" spans="1:7" x14ac:dyDescent="0.25">
      <c r="A116" s="4" t="s">
        <v>120</v>
      </c>
      <c r="B116" s="1" t="s">
        <v>129</v>
      </c>
      <c r="C116" s="1" t="s">
        <v>130</v>
      </c>
      <c r="D116" s="1" t="s">
        <v>131</v>
      </c>
      <c r="E116" s="1" t="s">
        <v>132</v>
      </c>
    </row>
    <row r="117" spans="1:7" x14ac:dyDescent="0.25">
      <c r="A117" s="2" t="s">
        <v>17</v>
      </c>
      <c r="B117" s="10">
        <f>IF(Оценки_Альтернативы!$I$17&gt;=Оценки_Альтернативы!$I$17,MIN(9,1+Оценки_Альтернативы!$I$17-Оценки_Альтернативы!$I$17),1/MIN(9,1+Оценки_Альтернативы!$I$17-Оценки_Альтернативы!$I$17))</f>
        <v>1</v>
      </c>
      <c r="C117" s="10">
        <f>IF(Оценки_Альтернативы!$I$17&gt;=Оценки_Альтернативы!$I$18,MIN(9,1+Оценки_Альтернативы!$I$17-Оценки_Альтернативы!$I$18),1/MIN(9,1+Оценки_Альтернативы!$I$18-Оценки_Альтернативы!$I$17))</f>
        <v>0.5</v>
      </c>
      <c r="D117" s="10">
        <f>IF(Оценки_Альтернативы!$I$17&gt;=Оценки_Альтернативы!$I$19,MIN(9,1+Оценки_Альтернативы!$I$17-Оценки_Альтернативы!$I$19),1/MIN(9,1+Оценки_Альтернативы!$I$19-Оценки_Альтернативы!$I$17))</f>
        <v>3</v>
      </c>
      <c r="E117" s="10">
        <f>IF(Оценки_Альтернативы!$I$17&gt;=Оценки_Альтернативы!$I$20,MIN(9,1+Оценки_Альтернативы!$I$17-Оценки_Альтернативы!$I$20),1/MIN(9,1+Оценки_Альтернативы!$I$20-Оценки_Альтернативы!$I$17))</f>
        <v>1</v>
      </c>
    </row>
    <row r="118" spans="1:7" x14ac:dyDescent="0.25">
      <c r="A118" s="2" t="s">
        <v>18</v>
      </c>
      <c r="B118" s="10">
        <f>IF(Оценки_Альтернативы!$I$18&gt;=Оценки_Альтернативы!$I$17,MIN(9,1+Оценки_Альтернативы!$I$18-Оценки_Альтернативы!$I$17),1/MIN(9,1+Оценки_Альтернативы!$I$17-Оценки_Альтернативы!$I$18))</f>
        <v>2</v>
      </c>
      <c r="C118" s="10">
        <f>IF(Оценки_Альтернативы!$I$18&gt;=Оценки_Альтернативы!$I$18,MIN(9,1+Оценки_Альтернативы!$I$18-Оценки_Альтернативы!$I$18),1/MIN(9,1+Оценки_Альтернативы!$I$18-Оценки_Альтернативы!$I$18))</f>
        <v>1</v>
      </c>
      <c r="D118" s="10">
        <f>IF(Оценки_Альтернативы!$I$18&gt;=Оценки_Альтернативы!$I$19,MIN(9,1+Оценки_Альтернативы!$I$18-Оценки_Альтернативы!$I$19),1/MIN(9,1+Оценки_Альтернативы!$I$19-Оценки_Альтернативы!$I$18))</f>
        <v>4</v>
      </c>
      <c r="E118" s="10">
        <f>IF(Оценки_Альтернативы!$I$18&gt;=Оценки_Альтернативы!$I$20,MIN(9,1+Оценки_Альтернативы!$I$18-Оценки_Альтернативы!$I$20),1/MIN(9,1+Оценки_Альтернативы!$I$20-Оценки_Альтернативы!$I$18))</f>
        <v>2</v>
      </c>
    </row>
    <row r="119" spans="1:7" ht="28.5" x14ac:dyDescent="0.25">
      <c r="A119" s="2" t="s">
        <v>19</v>
      </c>
      <c r="B119" s="10">
        <f>IF(Оценки_Альтернативы!$I$19&gt;=Оценки_Альтернативы!$I$17,MIN(9,1+Оценки_Альтернативы!$I$19-Оценки_Альтернативы!$I$17),1/MIN(9,1+Оценки_Альтернативы!$I$17-Оценки_Альтернативы!$I$19))</f>
        <v>0.33333333333333331</v>
      </c>
      <c r="C119" s="10">
        <f>IF(Оценки_Альтернативы!$I$19&gt;=Оценки_Альтернативы!$I$18,MIN(9,1+Оценки_Альтернативы!$I$19-Оценки_Альтернативы!$I$18),1/MIN(9,1+Оценки_Альтернативы!$I$18-Оценки_Альтернативы!$I$19))</f>
        <v>0.25</v>
      </c>
      <c r="D119" s="10">
        <f>IF(Оценки_Альтернативы!$I$19&gt;=Оценки_Альтернативы!$I$19,MIN(9,1+Оценки_Альтернативы!$I$19-Оценки_Альтернативы!$I$19),1/MIN(9,1+Оценки_Альтернативы!$I$19-Оценки_Альтернативы!$I$19))</f>
        <v>1</v>
      </c>
      <c r="E119" s="10">
        <f>IF(Оценки_Альтернативы!$I$19&gt;=Оценки_Альтернативы!$I$20,MIN(9,1+Оценки_Альтернативы!$I$19-Оценки_Альтернативы!$I$20),1/MIN(9,1+Оценки_Альтернативы!$I$20-Оценки_Альтернативы!$I$19))</f>
        <v>0.33333333333333331</v>
      </c>
    </row>
    <row r="120" spans="1:7" x14ac:dyDescent="0.25">
      <c r="A120" s="2" t="s">
        <v>20</v>
      </c>
      <c r="B120" s="10">
        <f>IF(Оценки_Альтернативы!$I$20&gt;=Оценки_Альтернативы!$I$17,MIN(9,1+Оценки_Альтернативы!$I$20-Оценки_Альтернативы!$I$17),1/MIN(9,1+Оценки_Альтернативы!$I$17-Оценки_Альтернативы!$I$20))</f>
        <v>1</v>
      </c>
      <c r="C120" s="10">
        <f>IF(Оценки_Альтернативы!$I$20&gt;=Оценки_Альтернативы!$I$18,MIN(9,1+Оценки_Альтернативы!$I$20-Оценки_Альтернативы!$I$18),1/MIN(9,1+Оценки_Альтернативы!$I$18-Оценки_Альтернативы!$I$20))</f>
        <v>0.5</v>
      </c>
      <c r="D120" s="10">
        <f>IF(Оценки_Альтернативы!$I$20&gt;=Оценки_Альтернативы!$I$19,MIN(9,1+Оценки_Альтернативы!$I$20-Оценки_Альтернативы!$I$19),1/MIN(9,1+Оценки_Альтернативы!$I$19-Оценки_Альтернативы!$I$20))</f>
        <v>3</v>
      </c>
      <c r="E120" s="10">
        <f>IF(Оценки_Альтернативы!$I$20&gt;=Оценки_Альтернативы!$I$20,MIN(9,1+Оценки_Альтернативы!$I$20-Оценки_Альтернативы!$I$20),1/MIN(9,1+Оценки_Альтернативы!$I$20-Оценки_Альтернативы!$I$20))</f>
        <v>1</v>
      </c>
    </row>
    <row r="122" spans="1:7" x14ac:dyDescent="0.25">
      <c r="A122" s="4" t="s">
        <v>121</v>
      </c>
      <c r="B122" s="1" t="s">
        <v>129</v>
      </c>
      <c r="C122" s="1" t="s">
        <v>130</v>
      </c>
      <c r="D122" s="1" t="s">
        <v>131</v>
      </c>
      <c r="E122" s="1" t="s">
        <v>132</v>
      </c>
    </row>
    <row r="123" spans="1:7" x14ac:dyDescent="0.25">
      <c r="A123" s="2" t="s">
        <v>17</v>
      </c>
      <c r="B123" s="10">
        <f>IF(Оценки_Альтернативы!$I$24&gt;=Оценки_Альтернативы!$I$24,MIN(9,1+Оценки_Альтернативы!$I$24-Оценки_Альтернативы!$I$24),1/MIN(9,1+Оценки_Альтернативы!$I$24-Оценки_Альтернативы!$I$24))</f>
        <v>1</v>
      </c>
      <c r="C123" s="10">
        <f>IF(Оценки_Альтернативы!$I$24&gt;=Оценки_Альтернативы!$I$25,MIN(9,1+Оценки_Альтернативы!$I$24-Оценки_Альтернативы!$I$25),1/MIN(9,1+Оценки_Альтернативы!$I$25-Оценки_Альтернативы!$I$24))</f>
        <v>0.33333333333333331</v>
      </c>
      <c r="D123" s="10">
        <f>IF(Оценки_Альтернативы!$I$24&gt;=Оценки_Альтернативы!$I$26,MIN(9,1+Оценки_Альтернативы!$I$24-Оценки_Альтернативы!$I$26),1/MIN(9,1+Оценки_Альтернативы!$I$26-Оценки_Альтернативы!$I$24))</f>
        <v>1</v>
      </c>
      <c r="E123" s="10">
        <f>IF(Оценки_Альтернативы!$I$24&gt;=Оценки_Альтернативы!$I$27,MIN(9,1+Оценки_Альтернативы!$I$24-Оценки_Альтернативы!$I$27),1/MIN(9,1+Оценки_Альтернативы!$I$27-Оценки_Альтернативы!$I$24))</f>
        <v>0.33333333333333331</v>
      </c>
    </row>
    <row r="124" spans="1:7" x14ac:dyDescent="0.25">
      <c r="A124" s="2" t="s">
        <v>18</v>
      </c>
      <c r="B124" s="10">
        <f>IF(Оценки_Альтернативы!$I$25&gt;=Оценки_Альтернативы!$I$24,MIN(9,1+Оценки_Альтернативы!$I$25-Оценки_Альтернативы!$I$24),1/MIN(9,1+Оценки_Альтернативы!$I$24-Оценки_Альтернативы!$I$25))</f>
        <v>3</v>
      </c>
      <c r="C124" s="10">
        <f>IF(Оценки_Альтернативы!$I$25&gt;=Оценки_Альтернативы!$I$25,MIN(9,1+Оценки_Альтернативы!$I$25-Оценки_Альтернативы!$I$25),1/MIN(9,1+Оценки_Альтернативы!$I$25-Оценки_Альтернативы!$I$25))</f>
        <v>1</v>
      </c>
      <c r="D124" s="10">
        <f>IF(Оценки_Альтернативы!$I$25&gt;=Оценки_Альтернативы!$I$26,MIN(9,1+Оценки_Альтернативы!$I$25-Оценки_Альтернативы!$I$26),1/MIN(9,1+Оценки_Альтернативы!$I$26-Оценки_Альтернативы!$I$25))</f>
        <v>3</v>
      </c>
      <c r="E124" s="10">
        <f>IF(Оценки_Альтернативы!$I$25&gt;=Оценки_Альтернативы!$I$27,MIN(9,1+Оценки_Альтернативы!$I$25-Оценки_Альтернативы!$I$27),1/MIN(9,1+Оценки_Альтернативы!$I$27-Оценки_Альтернативы!$I$25))</f>
        <v>1</v>
      </c>
    </row>
    <row r="125" spans="1:7" ht="28.5" x14ac:dyDescent="0.25">
      <c r="A125" s="2" t="s">
        <v>19</v>
      </c>
      <c r="B125" s="10">
        <f>IF(Оценки_Альтернативы!$I$26&gt;=Оценки_Альтернативы!$I$24,MIN(9,1+Оценки_Альтернативы!$I$26-Оценки_Альтернативы!$I$24),1/MIN(9,1+Оценки_Альтернативы!$I$24-Оценки_Альтернативы!$I$26))</f>
        <v>1</v>
      </c>
      <c r="C125" s="10">
        <f>IF(Оценки_Альтернативы!$I$26&gt;=Оценки_Альтернативы!$I$25,MIN(9,1+Оценки_Альтернативы!$I$26-Оценки_Альтернативы!$I$25),1/MIN(9,1+Оценки_Альтернативы!$I$25-Оценки_Альтернативы!$I$26))</f>
        <v>0.33333333333333331</v>
      </c>
      <c r="D125" s="10">
        <f>IF(Оценки_Альтернативы!$I$26&gt;=Оценки_Альтернативы!$I$26,MIN(9,1+Оценки_Альтернативы!$I$26-Оценки_Альтернативы!$I$26),1/MIN(9,1+Оценки_Альтернативы!$I$26-Оценки_Альтернативы!$I$26))</f>
        <v>1</v>
      </c>
      <c r="E125" s="10">
        <f>IF(Оценки_Альтернативы!$I$26&gt;=Оценки_Альтернативы!$I$27,MIN(9,1+Оценки_Альтернативы!$I$26-Оценки_Альтернативы!$I$27),1/MIN(9,1+Оценки_Альтернативы!$I$27-Оценки_Альтернативы!$I$26))</f>
        <v>0.33333333333333331</v>
      </c>
    </row>
    <row r="126" spans="1:7" x14ac:dyDescent="0.25">
      <c r="A126" s="2" t="s">
        <v>20</v>
      </c>
      <c r="B126" s="10">
        <f>IF(Оценки_Альтернативы!$I$27&gt;=Оценки_Альтернативы!$I$24,MIN(9,1+Оценки_Альтернативы!$I$27-Оценки_Альтернативы!$I$24),1/MIN(9,1+Оценки_Альтернативы!$I$24-Оценки_Альтернативы!$I$27))</f>
        <v>3</v>
      </c>
      <c r="C126" s="10">
        <f>IF(Оценки_Альтернативы!$I$27&gt;=Оценки_Альтернативы!$I$25,MIN(9,1+Оценки_Альтернативы!$I$27-Оценки_Альтернативы!$I$25),1/MIN(9,1+Оценки_Альтернативы!$I$25-Оценки_Альтернативы!$I$27))</f>
        <v>1</v>
      </c>
      <c r="D126" s="10">
        <f>IF(Оценки_Альтернативы!$I$27&gt;=Оценки_Альтернативы!$I$26,MIN(9,1+Оценки_Альтернативы!$I$27-Оценки_Альтернативы!$I$26),1/MIN(9,1+Оценки_Альтернативы!$I$26-Оценки_Альтернативы!$I$27))</f>
        <v>3</v>
      </c>
      <c r="E126" s="10">
        <f>IF(Оценки_Альтернативы!$I$27&gt;=Оценки_Альтернативы!$I$27,MIN(9,1+Оценки_Альтернативы!$I$27-Оценки_Альтернативы!$I$27),1/MIN(9,1+Оценки_Альтернативы!$I$27-Оценки_Альтернативы!$I$27))</f>
        <v>1</v>
      </c>
    </row>
    <row r="128" spans="1:7" ht="45" x14ac:dyDescent="0.25">
      <c r="A128" s="4" t="s">
        <v>122</v>
      </c>
      <c r="B128" s="1" t="s">
        <v>129</v>
      </c>
      <c r="C128" s="1" t="s">
        <v>130</v>
      </c>
      <c r="D128" s="1" t="s">
        <v>131</v>
      </c>
      <c r="E128" s="1" t="s">
        <v>132</v>
      </c>
      <c r="F128" s="1" t="s">
        <v>123</v>
      </c>
      <c r="G128" s="1" t="s">
        <v>124</v>
      </c>
    </row>
    <row r="129" spans="1:7" x14ac:dyDescent="0.25">
      <c r="A129" s="2" t="s">
        <v>17</v>
      </c>
      <c r="B129" s="10">
        <f t="shared" ref="B129:E132" si="3">GEOMEAN(B105,B111,B117,B123)</f>
        <v>1</v>
      </c>
      <c r="C129" s="10">
        <f t="shared" si="3"/>
        <v>0.37991784282579627</v>
      </c>
      <c r="D129" s="10">
        <f t="shared" si="3"/>
        <v>1.8612097182041991</v>
      </c>
      <c r="E129" s="10">
        <f t="shared" si="3"/>
        <v>0.48549177170732344</v>
      </c>
      <c r="F129" s="5">
        <f>GEOMEAN(B129:E129)</f>
        <v>0.76544980891732906</v>
      </c>
      <c r="G129" s="6">
        <f>F129/SUM($F$129:$F$132)</f>
        <v>0.16564875140266255</v>
      </c>
    </row>
    <row r="130" spans="1:7" x14ac:dyDescent="0.25">
      <c r="A130" s="2" t="s">
        <v>18</v>
      </c>
      <c r="B130" s="10">
        <f t="shared" si="3"/>
        <v>2.6321480259049852</v>
      </c>
      <c r="C130" s="10">
        <f t="shared" si="3"/>
        <v>1</v>
      </c>
      <c r="D130" s="10">
        <f t="shared" si="3"/>
        <v>3.6628415014847064</v>
      </c>
      <c r="E130" s="10">
        <f t="shared" si="3"/>
        <v>1.4142135623730949</v>
      </c>
      <c r="F130" s="5">
        <f>GEOMEAN(B130:E130)</f>
        <v>1.9215905680201717</v>
      </c>
      <c r="G130" s="6">
        <f>F130/SUM($F$129:$F$132)</f>
        <v>0.41584578713253412</v>
      </c>
    </row>
    <row r="131" spans="1:7" ht="28.5" x14ac:dyDescent="0.25">
      <c r="A131" s="2" t="s">
        <v>19</v>
      </c>
      <c r="B131" s="10">
        <f t="shared" si="3"/>
        <v>0.537284965911771</v>
      </c>
      <c r="C131" s="10">
        <f t="shared" si="3"/>
        <v>0.27301208627090667</v>
      </c>
      <c r="D131" s="10">
        <f t="shared" si="3"/>
        <v>1</v>
      </c>
      <c r="E131" s="10">
        <f t="shared" si="3"/>
        <v>0.31020161970069987</v>
      </c>
      <c r="F131" s="5">
        <f>GEOMEAN(B131:E131)</f>
        <v>0.46185713353888203</v>
      </c>
      <c r="G131" s="6">
        <f>F131/SUM($F$129:$F$132)</f>
        <v>9.9949149644887395E-2</v>
      </c>
    </row>
    <row r="132" spans="1:7" x14ac:dyDescent="0.25">
      <c r="A132" s="2" t="s">
        <v>20</v>
      </c>
      <c r="B132" s="10">
        <f t="shared" si="3"/>
        <v>2.0597671439071177</v>
      </c>
      <c r="C132" s="10">
        <f t="shared" si="3"/>
        <v>0.70710678118654757</v>
      </c>
      <c r="D132" s="10">
        <f t="shared" si="3"/>
        <v>3.2237097954706257</v>
      </c>
      <c r="E132" s="10">
        <f t="shared" si="3"/>
        <v>1</v>
      </c>
      <c r="F132" s="5">
        <f>GEOMEAN(B132:E132)</f>
        <v>1.4720235796962633</v>
      </c>
      <c r="G132" s="6">
        <f>F132/SUM($F$129:$F$132)</f>
        <v>0.31855631181991589</v>
      </c>
    </row>
    <row r="133" spans="1:7" x14ac:dyDescent="0.25">
      <c r="A133" s="2" t="s">
        <v>125</v>
      </c>
      <c r="B133" s="5">
        <f>SUM(B129:B132)*G129+SUM(C129:C132)*G130+SUM(D129:D132)*G131+SUM(E129:E132)*G132</f>
        <v>4.0100870930577646</v>
      </c>
    </row>
    <row r="134" spans="1:7" x14ac:dyDescent="0.25">
      <c r="A134" s="2" t="s">
        <v>126</v>
      </c>
      <c r="B134" s="5">
        <f>(B133-4)/(4-1)</f>
        <v>3.3623643525881874E-3</v>
      </c>
    </row>
    <row r="135" spans="1:7" ht="42.75" x14ac:dyDescent="0.25">
      <c r="A135" s="2" t="s">
        <v>127</v>
      </c>
      <c r="B135" s="5">
        <f>B134/0.9</f>
        <v>3.7359603917646528E-3</v>
      </c>
      <c r="C135" s="2" t="str">
        <f>IF(B135&lt;=0.1,"согласовано (ОС ≤ 0,10)","ОС &gt; 0,10 — пересмотреть")</f>
        <v>согласовано (ОС ≤ 0,10)</v>
      </c>
    </row>
    <row r="137" spans="1:7" ht="30" x14ac:dyDescent="0.25">
      <c r="A137" s="4" t="s">
        <v>135</v>
      </c>
    </row>
    <row r="138" spans="1:7" x14ac:dyDescent="0.25">
      <c r="A138" s="4" t="s">
        <v>114</v>
      </c>
      <c r="B138" s="1" t="s">
        <v>129</v>
      </c>
      <c r="C138" s="1" t="s">
        <v>130</v>
      </c>
      <c r="D138" s="1" t="s">
        <v>131</v>
      </c>
      <c r="E138" s="1" t="s">
        <v>132</v>
      </c>
    </row>
    <row r="139" spans="1:7" x14ac:dyDescent="0.25">
      <c r="A139" s="2" t="s">
        <v>17</v>
      </c>
      <c r="B139" s="10">
        <f>IF(Оценки_Альтернативы!$L$3&gt;=Оценки_Альтернативы!$L$3,MIN(9,1+Оценки_Альтернативы!$L$3-Оценки_Альтернативы!$L$3),1/MIN(9,1+Оценки_Альтернативы!$L$3-Оценки_Альтернативы!$L$3))</f>
        <v>1</v>
      </c>
      <c r="C139" s="10">
        <f>IF(Оценки_Альтернативы!$L$3&gt;=Оценки_Альтернативы!$L$4,MIN(9,1+Оценки_Альтернативы!$L$3-Оценки_Альтернативы!$L$4),1/MIN(9,1+Оценки_Альтернативы!$L$4-Оценки_Альтернативы!$L$3))</f>
        <v>1</v>
      </c>
      <c r="D139" s="10">
        <f>IF(Оценки_Альтернативы!$L$3&gt;=Оценки_Альтернативы!$L$5,MIN(9,1+Оценки_Альтернативы!$L$3-Оценки_Альтернативы!$L$5),1/MIN(9,1+Оценки_Альтернативы!$L$5-Оценки_Альтернативы!$L$3))</f>
        <v>0.5</v>
      </c>
      <c r="E139" s="10">
        <f>IF(Оценки_Альтернативы!$L$3&gt;=Оценки_Альтернативы!$L$6,MIN(9,1+Оценки_Альтернативы!$L$3-Оценки_Альтернативы!$L$6),1/MIN(9,1+Оценки_Альтернативы!$L$6-Оценки_Альтернативы!$L$3))</f>
        <v>3</v>
      </c>
    </row>
    <row r="140" spans="1:7" x14ac:dyDescent="0.25">
      <c r="A140" s="2" t="s">
        <v>18</v>
      </c>
      <c r="B140" s="10">
        <f>IF(Оценки_Альтернативы!$L$4&gt;=Оценки_Альтернативы!$L$3,MIN(9,1+Оценки_Альтернативы!$L$4-Оценки_Альтернативы!$L$3),1/MIN(9,1+Оценки_Альтернативы!$L$3-Оценки_Альтернативы!$L$4))</f>
        <v>1</v>
      </c>
      <c r="C140" s="10">
        <f>IF(Оценки_Альтернативы!$L$4&gt;=Оценки_Альтернативы!$L$4,MIN(9,1+Оценки_Альтернативы!$L$4-Оценки_Альтернативы!$L$4),1/MIN(9,1+Оценки_Альтернативы!$L$4-Оценки_Альтернативы!$L$4))</f>
        <v>1</v>
      </c>
      <c r="D140" s="10">
        <f>IF(Оценки_Альтернативы!$L$4&gt;=Оценки_Альтернативы!$L$5,MIN(9,1+Оценки_Альтернативы!$L$4-Оценки_Альтернативы!$L$5),1/MIN(9,1+Оценки_Альтернативы!$L$5-Оценки_Альтернативы!$L$4))</f>
        <v>0.5</v>
      </c>
      <c r="E140" s="10">
        <f>IF(Оценки_Альтернативы!$L$4&gt;=Оценки_Альтернативы!$L$6,MIN(9,1+Оценки_Альтернативы!$L$4-Оценки_Альтернативы!$L$6),1/MIN(9,1+Оценки_Альтернативы!$L$6-Оценки_Альтернативы!$L$4))</f>
        <v>3</v>
      </c>
    </row>
    <row r="141" spans="1:7" ht="28.5" x14ac:dyDescent="0.25">
      <c r="A141" s="2" t="s">
        <v>19</v>
      </c>
      <c r="B141" s="10">
        <f>IF(Оценки_Альтернативы!$L$5&gt;=Оценки_Альтернативы!$L$3,MIN(9,1+Оценки_Альтернативы!$L$5-Оценки_Альтернативы!$L$3),1/MIN(9,1+Оценки_Альтернативы!$L$3-Оценки_Альтернативы!$L$5))</f>
        <v>2</v>
      </c>
      <c r="C141" s="10">
        <f>IF(Оценки_Альтернативы!$L$5&gt;=Оценки_Альтернативы!$L$4,MIN(9,1+Оценки_Альтернативы!$L$5-Оценки_Альтернативы!$L$4),1/MIN(9,1+Оценки_Альтернативы!$L$4-Оценки_Альтернативы!$L$5))</f>
        <v>2</v>
      </c>
      <c r="D141" s="10">
        <f>IF(Оценки_Альтернативы!$L$5&gt;=Оценки_Альтернативы!$L$5,MIN(9,1+Оценки_Альтернативы!$L$5-Оценки_Альтернативы!$L$5),1/MIN(9,1+Оценки_Альтернативы!$L$5-Оценки_Альтернативы!$L$5))</f>
        <v>1</v>
      </c>
      <c r="E141" s="10">
        <f>IF(Оценки_Альтернативы!$L$5&gt;=Оценки_Альтернативы!$L$6,MIN(9,1+Оценки_Альтернативы!$L$5-Оценки_Альтернативы!$L$6),1/MIN(9,1+Оценки_Альтернативы!$L$6-Оценки_Альтернативы!$L$5))</f>
        <v>4</v>
      </c>
    </row>
    <row r="142" spans="1:7" x14ac:dyDescent="0.25">
      <c r="A142" s="2" t="s">
        <v>20</v>
      </c>
      <c r="B142" s="10">
        <f>IF(Оценки_Альтернативы!$L$6&gt;=Оценки_Альтернативы!$L$3,MIN(9,1+Оценки_Альтернативы!$L$6-Оценки_Альтернативы!$L$3),1/MIN(9,1+Оценки_Альтернативы!$L$3-Оценки_Альтернативы!$L$6))</f>
        <v>0.33333333333333331</v>
      </c>
      <c r="C142" s="10">
        <f>IF(Оценки_Альтернативы!$L$6&gt;=Оценки_Альтернативы!$L$4,MIN(9,1+Оценки_Альтернативы!$L$6-Оценки_Альтернативы!$L$4),1/MIN(9,1+Оценки_Альтернативы!$L$4-Оценки_Альтернативы!$L$6))</f>
        <v>0.33333333333333331</v>
      </c>
      <c r="D142" s="10">
        <f>IF(Оценки_Альтернативы!$L$6&gt;=Оценки_Альтернативы!$L$5,MIN(9,1+Оценки_Альтернативы!$L$6-Оценки_Альтернативы!$L$5),1/MIN(9,1+Оценки_Альтернативы!$L$5-Оценки_Альтернативы!$L$6))</f>
        <v>0.25</v>
      </c>
      <c r="E142" s="10">
        <f>IF(Оценки_Альтернативы!$L$6&gt;=Оценки_Альтернативы!$L$6,MIN(9,1+Оценки_Альтернативы!$L$6-Оценки_Альтернативы!$L$6),1/MIN(9,1+Оценки_Альтернативы!$L$6-Оценки_Альтернативы!$L$6))</f>
        <v>1</v>
      </c>
    </row>
    <row r="144" spans="1:7" x14ac:dyDescent="0.25">
      <c r="A144" s="4" t="s">
        <v>119</v>
      </c>
      <c r="B144" s="1" t="s">
        <v>129</v>
      </c>
      <c r="C144" s="1" t="s">
        <v>130</v>
      </c>
      <c r="D144" s="1" t="s">
        <v>131</v>
      </c>
      <c r="E144" s="1" t="s">
        <v>132</v>
      </c>
    </row>
    <row r="145" spans="1:5" x14ac:dyDescent="0.25">
      <c r="A145" s="2" t="s">
        <v>17</v>
      </c>
      <c r="B145" s="10">
        <f>IF(Оценки_Альтернативы!$L$10&gt;=Оценки_Альтернативы!$L$10,MIN(9,1+Оценки_Альтернативы!$L$10-Оценки_Альтернативы!$L$10),1/MIN(9,1+Оценки_Альтернативы!$L$10-Оценки_Альтернативы!$L$10))</f>
        <v>1</v>
      </c>
      <c r="C145" s="10">
        <f>IF(Оценки_Альтернативы!$L$10&gt;=Оценки_Альтернативы!$L$11,MIN(9,1+Оценки_Альтернативы!$L$10-Оценки_Альтернативы!$L$11),1/MIN(9,1+Оценки_Альтернативы!$L$11-Оценки_Альтернативы!$L$10))</f>
        <v>2</v>
      </c>
      <c r="D145" s="10">
        <f>IF(Оценки_Альтернативы!$L$10&gt;=Оценки_Альтернативы!$L$12,MIN(9,1+Оценки_Альтернативы!$L$10-Оценки_Альтернативы!$L$12),1/MIN(9,1+Оценки_Альтернативы!$L$12-Оценки_Альтернативы!$L$10))</f>
        <v>1</v>
      </c>
      <c r="E145" s="10">
        <f>IF(Оценки_Альтернативы!$L$10&gt;=Оценки_Альтернативы!$L$13,MIN(9,1+Оценки_Альтернативы!$L$10-Оценки_Альтернативы!$L$13),1/MIN(9,1+Оценки_Альтернативы!$L$13-Оценки_Альтернативы!$L$10))</f>
        <v>4</v>
      </c>
    </row>
    <row r="146" spans="1:5" x14ac:dyDescent="0.25">
      <c r="A146" s="2" t="s">
        <v>18</v>
      </c>
      <c r="B146" s="10">
        <f>IF(Оценки_Альтернативы!$L$11&gt;=Оценки_Альтернативы!$L$10,MIN(9,1+Оценки_Альтернативы!$L$11-Оценки_Альтернативы!$L$10),1/MIN(9,1+Оценки_Альтернативы!$L$10-Оценки_Альтернативы!$L$11))</f>
        <v>0.5</v>
      </c>
      <c r="C146" s="10">
        <f>IF(Оценки_Альтернативы!$L$11&gt;=Оценки_Альтернативы!$L$11,MIN(9,1+Оценки_Альтернативы!$L$11-Оценки_Альтернативы!$L$11),1/MIN(9,1+Оценки_Альтернативы!$L$11-Оценки_Альтернативы!$L$11))</f>
        <v>1</v>
      </c>
      <c r="D146" s="10">
        <f>IF(Оценки_Альтернативы!$L$11&gt;=Оценки_Альтернативы!$L$12,MIN(9,1+Оценки_Альтернативы!$L$11-Оценки_Альтернативы!$L$12),1/MIN(9,1+Оценки_Альтернативы!$L$12-Оценки_Альтернативы!$L$11))</f>
        <v>0.5</v>
      </c>
      <c r="E146" s="10">
        <f>IF(Оценки_Альтернативы!$L$11&gt;=Оценки_Альтернативы!$L$13,MIN(9,1+Оценки_Альтернативы!$L$11-Оценки_Альтернативы!$L$13),1/MIN(9,1+Оценки_Альтернативы!$L$13-Оценки_Альтернативы!$L$11))</f>
        <v>3</v>
      </c>
    </row>
    <row r="147" spans="1:5" ht="28.5" x14ac:dyDescent="0.25">
      <c r="A147" s="2" t="s">
        <v>19</v>
      </c>
      <c r="B147" s="10">
        <f>IF(Оценки_Альтернативы!$L$12&gt;=Оценки_Альтернативы!$L$10,MIN(9,1+Оценки_Альтернативы!$L$12-Оценки_Альтернативы!$L$10),1/MIN(9,1+Оценки_Альтернативы!$L$10-Оценки_Альтернативы!$L$12))</f>
        <v>1</v>
      </c>
      <c r="C147" s="10">
        <f>IF(Оценки_Альтернативы!$L$12&gt;=Оценки_Альтернативы!$L$11,MIN(9,1+Оценки_Альтернативы!$L$12-Оценки_Альтернативы!$L$11),1/MIN(9,1+Оценки_Альтернативы!$L$11-Оценки_Альтернативы!$L$12))</f>
        <v>2</v>
      </c>
      <c r="D147" s="10">
        <f>IF(Оценки_Альтернативы!$L$12&gt;=Оценки_Альтернативы!$L$12,MIN(9,1+Оценки_Альтернативы!$L$12-Оценки_Альтернативы!$L$12),1/MIN(9,1+Оценки_Альтернативы!$L$12-Оценки_Альтернативы!$L$12))</f>
        <v>1</v>
      </c>
      <c r="E147" s="10">
        <f>IF(Оценки_Альтернативы!$L$12&gt;=Оценки_Альтернативы!$L$13,MIN(9,1+Оценки_Альтернативы!$L$12-Оценки_Альтернативы!$L$13),1/MIN(9,1+Оценки_Альтернативы!$L$13-Оценки_Альтернативы!$L$12))</f>
        <v>4</v>
      </c>
    </row>
    <row r="148" spans="1:5" x14ac:dyDescent="0.25">
      <c r="A148" s="2" t="s">
        <v>20</v>
      </c>
      <c r="B148" s="10">
        <f>IF(Оценки_Альтернативы!$L$13&gt;=Оценки_Альтернативы!$L$10,MIN(9,1+Оценки_Альтернативы!$L$13-Оценки_Альтернативы!$L$10),1/MIN(9,1+Оценки_Альтернативы!$L$10-Оценки_Альтернативы!$L$13))</f>
        <v>0.25</v>
      </c>
      <c r="C148" s="10">
        <f>IF(Оценки_Альтернативы!$L$13&gt;=Оценки_Альтернативы!$L$11,MIN(9,1+Оценки_Альтернативы!$L$13-Оценки_Альтернативы!$L$11),1/MIN(9,1+Оценки_Альтернативы!$L$11-Оценки_Альтернативы!$L$13))</f>
        <v>0.33333333333333331</v>
      </c>
      <c r="D148" s="10">
        <f>IF(Оценки_Альтернативы!$L$13&gt;=Оценки_Альтернативы!$L$12,MIN(9,1+Оценки_Альтернативы!$L$13-Оценки_Альтернативы!$L$12),1/MIN(9,1+Оценки_Альтернативы!$L$12-Оценки_Альтернативы!$L$13))</f>
        <v>0.25</v>
      </c>
      <c r="E148" s="10">
        <f>IF(Оценки_Альтернативы!$L$13&gt;=Оценки_Альтернативы!$L$13,MIN(9,1+Оценки_Альтернативы!$L$13-Оценки_Альтернативы!$L$13),1/MIN(9,1+Оценки_Альтернативы!$L$13-Оценки_Альтернативы!$L$13))</f>
        <v>1</v>
      </c>
    </row>
    <row r="150" spans="1:5" x14ac:dyDescent="0.25">
      <c r="A150" s="4" t="s">
        <v>120</v>
      </c>
      <c r="B150" s="1" t="s">
        <v>129</v>
      </c>
      <c r="C150" s="1" t="s">
        <v>130</v>
      </c>
      <c r="D150" s="1" t="s">
        <v>131</v>
      </c>
      <c r="E150" s="1" t="s">
        <v>132</v>
      </c>
    </row>
    <row r="151" spans="1:5" x14ac:dyDescent="0.25">
      <c r="A151" s="2" t="s">
        <v>17</v>
      </c>
      <c r="B151" s="10">
        <f>IF(Оценки_Альтернативы!$L$17&gt;=Оценки_Альтернативы!$L$17,MIN(9,1+Оценки_Альтернативы!$L$17-Оценки_Альтернативы!$L$17),1/MIN(9,1+Оценки_Альтернативы!$L$17-Оценки_Альтернативы!$L$17))</f>
        <v>1</v>
      </c>
      <c r="C151" s="10">
        <f>IF(Оценки_Альтернативы!$L$17&gt;=Оценки_Альтернативы!$L$18,MIN(9,1+Оценки_Альтернативы!$L$17-Оценки_Альтернативы!$L$18),1/MIN(9,1+Оценки_Альтернативы!$L$18-Оценки_Альтернативы!$L$17))</f>
        <v>2</v>
      </c>
      <c r="D151" s="10">
        <f>IF(Оценки_Альтернативы!$L$17&gt;=Оценки_Альтернативы!$L$19,MIN(9,1+Оценки_Альтернативы!$L$17-Оценки_Альтернативы!$L$19),1/MIN(9,1+Оценки_Альтернативы!$L$19-Оценки_Альтернативы!$L$17))</f>
        <v>0.5</v>
      </c>
      <c r="E151" s="10">
        <f>IF(Оценки_Альтернативы!$L$17&gt;=Оценки_Альтернативы!$L$20,MIN(9,1+Оценки_Альтернативы!$L$17-Оценки_Альтернативы!$L$20),1/MIN(9,1+Оценки_Альтернативы!$L$20-Оценки_Альтернативы!$L$17))</f>
        <v>4</v>
      </c>
    </row>
    <row r="152" spans="1:5" x14ac:dyDescent="0.25">
      <c r="A152" s="2" t="s">
        <v>18</v>
      </c>
      <c r="B152" s="10">
        <f>IF(Оценки_Альтернативы!$L$18&gt;=Оценки_Альтернативы!$L$17,MIN(9,1+Оценки_Альтернативы!$L$18-Оценки_Альтернативы!$L$17),1/MIN(9,1+Оценки_Альтернативы!$L$17-Оценки_Альтернативы!$L$18))</f>
        <v>0.5</v>
      </c>
      <c r="C152" s="10">
        <f>IF(Оценки_Альтернативы!$L$18&gt;=Оценки_Альтернативы!$L$18,MIN(9,1+Оценки_Альтернативы!$L$18-Оценки_Альтернативы!$L$18),1/MIN(9,1+Оценки_Альтернативы!$L$18-Оценки_Альтернативы!$L$18))</f>
        <v>1</v>
      </c>
      <c r="D152" s="10">
        <f>IF(Оценки_Альтернативы!$L$18&gt;=Оценки_Альтернативы!$L$19,MIN(9,1+Оценки_Альтернативы!$L$18-Оценки_Альтернативы!$L$19),1/MIN(9,1+Оценки_Альтернативы!$L$19-Оценки_Альтернативы!$L$18))</f>
        <v>0.33333333333333331</v>
      </c>
      <c r="E152" s="10">
        <f>IF(Оценки_Альтернативы!$L$18&gt;=Оценки_Альтернативы!$L$20,MIN(9,1+Оценки_Альтернативы!$L$18-Оценки_Альтернативы!$L$20),1/MIN(9,1+Оценки_Альтернативы!$L$20-Оценки_Альтернативы!$L$18))</f>
        <v>3</v>
      </c>
    </row>
    <row r="153" spans="1:5" ht="28.5" x14ac:dyDescent="0.25">
      <c r="A153" s="2" t="s">
        <v>19</v>
      </c>
      <c r="B153" s="10">
        <f>IF(Оценки_Альтернативы!$L$19&gt;=Оценки_Альтернативы!$L$17,MIN(9,1+Оценки_Альтернативы!$L$19-Оценки_Альтернативы!$L$17),1/MIN(9,1+Оценки_Альтернативы!$L$17-Оценки_Альтернативы!$L$19))</f>
        <v>2</v>
      </c>
      <c r="C153" s="10">
        <f>IF(Оценки_Альтернативы!$L$19&gt;=Оценки_Альтернативы!$L$18,MIN(9,1+Оценки_Альтернативы!$L$19-Оценки_Альтернативы!$L$18),1/MIN(9,1+Оценки_Альтернативы!$L$18-Оценки_Альтернативы!$L$19))</f>
        <v>3</v>
      </c>
      <c r="D153" s="10">
        <f>IF(Оценки_Альтернативы!$L$19&gt;=Оценки_Альтернативы!$L$19,MIN(9,1+Оценки_Альтернативы!$L$19-Оценки_Альтернативы!$L$19),1/MIN(9,1+Оценки_Альтернативы!$L$19-Оценки_Альтернативы!$L$19))</f>
        <v>1</v>
      </c>
      <c r="E153" s="10">
        <f>IF(Оценки_Альтернативы!$L$19&gt;=Оценки_Альтернативы!$L$20,MIN(9,1+Оценки_Альтернативы!$L$19-Оценки_Альтернативы!$L$20),1/MIN(9,1+Оценки_Альтернативы!$L$20-Оценки_Альтернативы!$L$19))</f>
        <v>5</v>
      </c>
    </row>
    <row r="154" spans="1:5" x14ac:dyDescent="0.25">
      <c r="A154" s="2" t="s">
        <v>20</v>
      </c>
      <c r="B154" s="10">
        <f>IF(Оценки_Альтернативы!$L$20&gt;=Оценки_Альтернативы!$L$17,MIN(9,1+Оценки_Альтернативы!$L$20-Оценки_Альтернативы!$L$17),1/MIN(9,1+Оценки_Альтернативы!$L$17-Оценки_Альтернативы!$L$20))</f>
        <v>0.25</v>
      </c>
      <c r="C154" s="10">
        <f>IF(Оценки_Альтернативы!$L$20&gt;=Оценки_Альтернативы!$L$18,MIN(9,1+Оценки_Альтернативы!$L$20-Оценки_Альтернативы!$L$18),1/MIN(9,1+Оценки_Альтернативы!$L$18-Оценки_Альтернативы!$L$20))</f>
        <v>0.33333333333333331</v>
      </c>
      <c r="D154" s="10">
        <f>IF(Оценки_Альтернативы!$L$20&gt;=Оценки_Альтернативы!$L$19,MIN(9,1+Оценки_Альтернативы!$L$20-Оценки_Альтернативы!$L$19),1/MIN(9,1+Оценки_Альтернативы!$L$19-Оценки_Альтернативы!$L$20))</f>
        <v>0.2</v>
      </c>
      <c r="E154" s="10">
        <f>IF(Оценки_Альтернативы!$L$20&gt;=Оценки_Альтернативы!$L$20,MIN(9,1+Оценки_Альтернативы!$L$20-Оценки_Альтернативы!$L$20),1/MIN(9,1+Оценки_Альтернативы!$L$20-Оценки_Альтернативы!$L$20))</f>
        <v>1</v>
      </c>
    </row>
    <row r="156" spans="1:5" x14ac:dyDescent="0.25">
      <c r="A156" s="4" t="s">
        <v>121</v>
      </c>
      <c r="B156" s="1" t="s">
        <v>129</v>
      </c>
      <c r="C156" s="1" t="s">
        <v>130</v>
      </c>
      <c r="D156" s="1" t="s">
        <v>131</v>
      </c>
      <c r="E156" s="1" t="s">
        <v>132</v>
      </c>
    </row>
    <row r="157" spans="1:5" x14ac:dyDescent="0.25">
      <c r="A157" s="2" t="s">
        <v>17</v>
      </c>
      <c r="B157" s="10">
        <f>IF(Оценки_Альтернативы!$L$24&gt;=Оценки_Альтернативы!$L$24,MIN(9,1+Оценки_Альтернативы!$L$24-Оценки_Альтернативы!$L$24),1/MIN(9,1+Оценки_Альтернативы!$L$24-Оценки_Альтернативы!$L$24))</f>
        <v>1</v>
      </c>
      <c r="C157" s="10">
        <f>IF(Оценки_Альтернативы!$L$24&gt;=Оценки_Альтернативы!$L$25,MIN(9,1+Оценки_Альтернативы!$L$24-Оценки_Альтернативы!$L$25),1/MIN(9,1+Оценки_Альтернативы!$L$25-Оценки_Альтернативы!$L$24))</f>
        <v>2</v>
      </c>
      <c r="D157" s="10">
        <f>IF(Оценки_Альтернативы!$L$24&gt;=Оценки_Альтернативы!$L$26,MIN(9,1+Оценки_Альтернативы!$L$24-Оценки_Альтернативы!$L$26),1/MIN(9,1+Оценки_Альтернативы!$L$26-Оценки_Альтернативы!$L$24))</f>
        <v>1</v>
      </c>
      <c r="E157" s="10">
        <f>IF(Оценки_Альтернативы!$L$24&gt;=Оценки_Альтернативы!$L$27,MIN(9,1+Оценки_Альтернативы!$L$24-Оценки_Альтернативы!$L$27),1/MIN(9,1+Оценки_Альтернативы!$L$27-Оценки_Альтернативы!$L$24))</f>
        <v>3</v>
      </c>
    </row>
    <row r="158" spans="1:5" x14ac:dyDescent="0.25">
      <c r="A158" s="2" t="s">
        <v>18</v>
      </c>
      <c r="B158" s="10">
        <f>IF(Оценки_Альтернативы!$L$25&gt;=Оценки_Альтернативы!$L$24,MIN(9,1+Оценки_Альтернативы!$L$25-Оценки_Альтернативы!$L$24),1/MIN(9,1+Оценки_Альтернативы!$L$24-Оценки_Альтернативы!$L$25))</f>
        <v>0.5</v>
      </c>
      <c r="C158" s="10">
        <f>IF(Оценки_Альтернативы!$L$25&gt;=Оценки_Альтернативы!$L$25,MIN(9,1+Оценки_Альтернативы!$L$25-Оценки_Альтернативы!$L$25),1/MIN(9,1+Оценки_Альтернативы!$L$25-Оценки_Альтернативы!$L$25))</f>
        <v>1</v>
      </c>
      <c r="D158" s="10">
        <f>IF(Оценки_Альтернативы!$L$25&gt;=Оценки_Альтернативы!$L$26,MIN(9,1+Оценки_Альтернативы!$L$25-Оценки_Альтернативы!$L$26),1/MIN(9,1+Оценки_Альтернативы!$L$26-Оценки_Альтернативы!$L$25))</f>
        <v>0.5</v>
      </c>
      <c r="E158" s="10">
        <f>IF(Оценки_Альтернативы!$L$25&gt;=Оценки_Альтернативы!$L$27,MIN(9,1+Оценки_Альтернативы!$L$25-Оценки_Альтернативы!$L$27),1/MIN(9,1+Оценки_Альтернативы!$L$27-Оценки_Альтернативы!$L$25))</f>
        <v>2</v>
      </c>
    </row>
    <row r="159" spans="1:5" ht="28.5" x14ac:dyDescent="0.25">
      <c r="A159" s="2" t="s">
        <v>19</v>
      </c>
      <c r="B159" s="10">
        <f>IF(Оценки_Альтернативы!$L$26&gt;=Оценки_Альтернативы!$L$24,MIN(9,1+Оценки_Альтернативы!$L$26-Оценки_Альтернативы!$L$24),1/MIN(9,1+Оценки_Альтернативы!$L$24-Оценки_Альтернативы!$L$26))</f>
        <v>1</v>
      </c>
      <c r="C159" s="10">
        <f>IF(Оценки_Альтернативы!$L$26&gt;=Оценки_Альтернативы!$L$25,MIN(9,1+Оценки_Альтернативы!$L$26-Оценки_Альтернативы!$L$25),1/MIN(9,1+Оценки_Альтернативы!$L$25-Оценки_Альтернативы!$L$26))</f>
        <v>2</v>
      </c>
      <c r="D159" s="10">
        <f>IF(Оценки_Альтернативы!$L$26&gt;=Оценки_Альтернативы!$L$26,MIN(9,1+Оценки_Альтернативы!$L$26-Оценки_Альтернативы!$L$26),1/MIN(9,1+Оценки_Альтернативы!$L$26-Оценки_Альтернативы!$L$26))</f>
        <v>1</v>
      </c>
      <c r="E159" s="10">
        <f>IF(Оценки_Альтернативы!$L$26&gt;=Оценки_Альтернативы!$L$27,MIN(9,1+Оценки_Альтернативы!$L$26-Оценки_Альтернативы!$L$27),1/MIN(9,1+Оценки_Альтернативы!$L$27-Оценки_Альтернативы!$L$26))</f>
        <v>3</v>
      </c>
    </row>
    <row r="160" spans="1:5" x14ac:dyDescent="0.25">
      <c r="A160" s="2" t="s">
        <v>20</v>
      </c>
      <c r="B160" s="10">
        <f>IF(Оценки_Альтернативы!$L$27&gt;=Оценки_Альтернативы!$L$24,MIN(9,1+Оценки_Альтернативы!$L$27-Оценки_Альтернативы!$L$24),1/MIN(9,1+Оценки_Альтернативы!$L$24-Оценки_Альтернативы!$L$27))</f>
        <v>0.33333333333333331</v>
      </c>
      <c r="C160" s="10">
        <f>IF(Оценки_Альтернативы!$L$27&gt;=Оценки_Альтернативы!$L$25,MIN(9,1+Оценки_Альтернативы!$L$27-Оценки_Альтернативы!$L$25),1/MIN(9,1+Оценки_Альтернативы!$L$25-Оценки_Альтернативы!$L$27))</f>
        <v>0.5</v>
      </c>
      <c r="D160" s="10">
        <f>IF(Оценки_Альтернативы!$L$27&gt;=Оценки_Альтернативы!$L$26,MIN(9,1+Оценки_Альтернативы!$L$27-Оценки_Альтернативы!$L$26),1/MIN(9,1+Оценки_Альтернативы!$L$26-Оценки_Альтернативы!$L$27))</f>
        <v>0.33333333333333331</v>
      </c>
      <c r="E160" s="10">
        <f>IF(Оценки_Альтернативы!$L$27&gt;=Оценки_Альтернативы!$L$27,MIN(9,1+Оценки_Альтернативы!$L$27-Оценки_Альтернативы!$L$27),1/MIN(9,1+Оценки_Альтернативы!$L$27-Оценки_Альтернативы!$L$27))</f>
        <v>1</v>
      </c>
    </row>
    <row r="162" spans="1:7" ht="45" x14ac:dyDescent="0.25">
      <c r="A162" s="4" t="s">
        <v>122</v>
      </c>
      <c r="B162" s="1" t="s">
        <v>129</v>
      </c>
      <c r="C162" s="1" t="s">
        <v>130</v>
      </c>
      <c r="D162" s="1" t="s">
        <v>131</v>
      </c>
      <c r="E162" s="1" t="s">
        <v>132</v>
      </c>
      <c r="F162" s="1" t="s">
        <v>123</v>
      </c>
      <c r="G162" s="1" t="s">
        <v>124</v>
      </c>
    </row>
    <row r="163" spans="1:7" x14ac:dyDescent="0.25">
      <c r="A163" s="2" t="s">
        <v>17</v>
      </c>
      <c r="B163" s="10">
        <f t="shared" ref="B163:E166" si="4">GEOMEAN(B139,B145,B151,B157)</f>
        <v>1</v>
      </c>
      <c r="C163" s="10">
        <f t="shared" si="4"/>
        <v>1.681792830507429</v>
      </c>
      <c r="D163" s="10">
        <f t="shared" si="4"/>
        <v>0.70710678118654757</v>
      </c>
      <c r="E163" s="10">
        <f t="shared" si="4"/>
        <v>3.4641016151377548</v>
      </c>
      <c r="F163" s="5">
        <f>GEOMEAN(B163:E163)</f>
        <v>1.4246626231544801</v>
      </c>
      <c r="G163" s="6">
        <f>F163/SUM($F$163:$F$166)</f>
        <v>0.3078676069180592</v>
      </c>
    </row>
    <row r="164" spans="1:7" x14ac:dyDescent="0.25">
      <c r="A164" s="2" t="s">
        <v>18</v>
      </c>
      <c r="B164" s="10">
        <f t="shared" si="4"/>
        <v>0.59460355750136051</v>
      </c>
      <c r="C164" s="10">
        <f t="shared" si="4"/>
        <v>1</v>
      </c>
      <c r="D164" s="10">
        <f t="shared" si="4"/>
        <v>0.45180100180492239</v>
      </c>
      <c r="E164" s="10">
        <f t="shared" si="4"/>
        <v>2.7108060108295344</v>
      </c>
      <c r="F164" s="5">
        <f>GEOMEAN(B164:E164)</f>
        <v>0.92377942086979759</v>
      </c>
      <c r="G164" s="6">
        <f>F164/SUM($F$163:$F$166)</f>
        <v>0.199627445123544</v>
      </c>
    </row>
    <row r="165" spans="1:7" ht="28.5" x14ac:dyDescent="0.25">
      <c r="A165" s="2" t="s">
        <v>19</v>
      </c>
      <c r="B165" s="10">
        <f t="shared" si="4"/>
        <v>1.4142135623730949</v>
      </c>
      <c r="C165" s="10">
        <f t="shared" si="4"/>
        <v>2.2133638394006434</v>
      </c>
      <c r="D165" s="10">
        <f t="shared" si="4"/>
        <v>1</v>
      </c>
      <c r="E165" s="10">
        <f t="shared" si="4"/>
        <v>3.9359793425308607</v>
      </c>
      <c r="F165" s="5">
        <f>GEOMEAN(B165:E165)</f>
        <v>1.8735062863974279</v>
      </c>
      <c r="G165" s="6">
        <f>F165/SUM($F$163:$F$166)</f>
        <v>0.40486209686752833</v>
      </c>
    </row>
    <row r="166" spans="1:7" x14ac:dyDescent="0.25">
      <c r="A166" s="2" t="s">
        <v>20</v>
      </c>
      <c r="B166" s="10">
        <f t="shared" si="4"/>
        <v>0.28867513459481287</v>
      </c>
      <c r="C166" s="10">
        <f t="shared" si="4"/>
        <v>0.36889397323344053</v>
      </c>
      <c r="D166" s="10">
        <f t="shared" si="4"/>
        <v>0.25406637407730737</v>
      </c>
      <c r="E166" s="10">
        <f t="shared" si="4"/>
        <v>1</v>
      </c>
      <c r="F166" s="5">
        <f>GEOMEAN(B166:E166)</f>
        <v>0.4055687942807405</v>
      </c>
      <c r="G166" s="6">
        <f>F166/SUM($F$163:$F$166)</f>
        <v>8.7642851090868515E-2</v>
      </c>
    </row>
    <row r="167" spans="1:7" x14ac:dyDescent="0.25">
      <c r="A167" s="2" t="s">
        <v>125</v>
      </c>
      <c r="B167" s="5">
        <f>SUM(B163:B166)*G163+SUM(C163:C166)*G164+SUM(D163:D166)*G165+SUM(E163:E166)*G166</f>
        <v>4.0167516190911554</v>
      </c>
    </row>
    <row r="168" spans="1:7" x14ac:dyDescent="0.25">
      <c r="A168" s="2" t="s">
        <v>126</v>
      </c>
      <c r="B168" s="5">
        <f>(B167-4)/(4-1)</f>
        <v>5.5838730303851376E-3</v>
      </c>
    </row>
    <row r="169" spans="1:7" ht="42.75" x14ac:dyDescent="0.25">
      <c r="A169" s="2" t="s">
        <v>127</v>
      </c>
      <c r="B169" s="5">
        <f>B168/0.9</f>
        <v>6.2043033670945973E-3</v>
      </c>
      <c r="C169" s="2" t="str">
        <f>IF(B169&lt;=0.1,"согласовано (ОС ≤ 0,10)","ОС &gt; 0,10 — пересмотреть")</f>
        <v>согласовано (ОС ≤ 0,10)</v>
      </c>
    </row>
    <row r="171" spans="1:7" ht="30" x14ac:dyDescent="0.25">
      <c r="A171" s="4" t="s">
        <v>143</v>
      </c>
    </row>
    <row r="172" spans="1:7" x14ac:dyDescent="0.25">
      <c r="A172" s="1" t="s">
        <v>9</v>
      </c>
      <c r="B172" s="1" t="s">
        <v>115</v>
      </c>
      <c r="C172" s="1" t="s">
        <v>116</v>
      </c>
      <c r="D172" s="1" t="s">
        <v>117</v>
      </c>
      <c r="E172" s="1" t="s">
        <v>118</v>
      </c>
      <c r="F172" s="1" t="s">
        <v>136</v>
      </c>
      <c r="G172" s="1" t="s">
        <v>112</v>
      </c>
    </row>
    <row r="173" spans="1:7" x14ac:dyDescent="0.25">
      <c r="A173" s="4" t="s">
        <v>137</v>
      </c>
      <c r="B173" s="5">
        <f>МАИ!$G$27</f>
        <v>0.37496180628257564</v>
      </c>
      <c r="C173" s="5">
        <f>МАИ!$G$28</f>
        <v>0.12777823233098651</v>
      </c>
      <c r="D173" s="5">
        <f>МАИ!$G$29</f>
        <v>0.12777823233098651</v>
      </c>
      <c r="E173" s="5">
        <f>МАИ!$G$30</f>
        <v>0.3694817290554514</v>
      </c>
    </row>
    <row r="174" spans="1:7" x14ac:dyDescent="0.25">
      <c r="A174" s="2" t="s">
        <v>17</v>
      </c>
      <c r="B174" s="5">
        <f>$G$61</f>
        <v>0.2633079735655468</v>
      </c>
      <c r="C174" s="5">
        <f>$G$95</f>
        <v>0.14961689332242042</v>
      </c>
      <c r="D174" s="5">
        <f>$G$129</f>
        <v>0.16564875140266255</v>
      </c>
      <c r="E174" s="5">
        <f>$G$163</f>
        <v>0.3078676069180592</v>
      </c>
      <c r="F174" s="6">
        <f>SUMPRODUCT($B$173:$E$173,B174:E174)</f>
        <v>0.25276597589865057</v>
      </c>
      <c r="G174" s="4">
        <f>RANK(F174,$F$174:$F$177)</f>
        <v>2</v>
      </c>
    </row>
    <row r="175" spans="1:7" x14ac:dyDescent="0.25">
      <c r="A175" s="2" t="s">
        <v>18</v>
      </c>
      <c r="B175" s="5">
        <f>$G$62</f>
        <v>0.16229638859833556</v>
      </c>
      <c r="C175" s="5">
        <f>$G$96</f>
        <v>0.33007971634128286</v>
      </c>
      <c r="D175" s="5">
        <f>$G$130</f>
        <v>0.41584578713253412</v>
      </c>
      <c r="E175" s="5">
        <f>$G$164</f>
        <v>0.199627445123544</v>
      </c>
      <c r="F175" s="6">
        <f>SUMPRODUCT($B$173:$E$173,B175:E175)</f>
        <v>0.22992668289762547</v>
      </c>
      <c r="G175" s="4">
        <f>RANK(F175,$F$174:$F$177)</f>
        <v>4</v>
      </c>
    </row>
    <row r="176" spans="1:7" ht="28.5" x14ac:dyDescent="0.25">
      <c r="A176" s="2" t="s">
        <v>19</v>
      </c>
      <c r="B176" s="5">
        <f>$G$63</f>
        <v>0.16229638859833556</v>
      </c>
      <c r="C176" s="5">
        <f>$G$97</f>
        <v>9.3966129522404837E-2</v>
      </c>
      <c r="D176" s="5">
        <f>$G$131</f>
        <v>9.9949149644887395E-2</v>
      </c>
      <c r="E176" s="5">
        <f>$G$165</f>
        <v>0.40486209686752833</v>
      </c>
      <c r="F176" s="6">
        <f>SUMPRODUCT($B$173:$E$173,B176:E176)</f>
        <v>0.23522224619556711</v>
      </c>
      <c r="G176" s="4">
        <f>RANK(F176,$F$174:$F$177)</f>
        <v>3</v>
      </c>
    </row>
    <row r="177" spans="1:7" x14ac:dyDescent="0.25">
      <c r="A177" s="2" t="s">
        <v>20</v>
      </c>
      <c r="B177" s="5">
        <f>$G$64</f>
        <v>0.41209924923778207</v>
      </c>
      <c r="C177" s="5">
        <f>$G$98</f>
        <v>0.42633726081389189</v>
      </c>
      <c r="D177" s="5">
        <f>$G$132</f>
        <v>0.31855631181991589</v>
      </c>
      <c r="E177" s="5">
        <f>$G$166</f>
        <v>8.7642851090868515E-2</v>
      </c>
      <c r="F177" s="6">
        <f>SUMPRODUCT($B$173:$E$173,B177:E177)</f>
        <v>0.28208509500815693</v>
      </c>
      <c r="G177" s="4">
        <f>RANK(F177,$F$174:$F$177)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Normal="100" workbookViewId="0">
      <selection activeCell="I8" sqref="I8"/>
    </sheetView>
  </sheetViews>
  <sheetFormatPr defaultColWidth="8.7109375" defaultRowHeight="15" x14ac:dyDescent="0.25"/>
  <cols>
    <col min="1" max="1" width="42" customWidth="1"/>
    <col min="2" max="8" width="14" customWidth="1"/>
  </cols>
  <sheetData>
    <row r="1" spans="1:8" ht="3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s="2" t="s">
        <v>17</v>
      </c>
      <c r="B2" s="5">
        <f>TOPSIS!F30</f>
        <v>0.74806810682417879</v>
      </c>
      <c r="C2" s="5">
        <f>TOPSIS!K30</f>
        <v>1.4468394481326425</v>
      </c>
      <c r="D2" s="6">
        <f>TOPSIS!L30</f>
        <v>0.65918013032722234</v>
      </c>
      <c r="E2" s="2">
        <f>TOPSIS!M30</f>
        <v>2</v>
      </c>
      <c r="F2" s="6">
        <f>МАИ!F174</f>
        <v>0.25276597589865057</v>
      </c>
      <c r="G2" s="2">
        <f>МАИ!G174</f>
        <v>2</v>
      </c>
      <c r="H2" s="2" t="str">
        <f>IF(E2=G2,"да","нет")</f>
        <v>да</v>
      </c>
    </row>
    <row r="3" spans="1:8" x14ac:dyDescent="0.25">
      <c r="A3" s="2" t="s">
        <v>18</v>
      </c>
      <c r="B3" s="5">
        <f>TOPSIS!F31</f>
        <v>0.67937064079011233</v>
      </c>
      <c r="C3" s="5">
        <f>TOPSIS!K31</f>
        <v>1.5062757383054826</v>
      </c>
      <c r="D3" s="6">
        <f>TOPSIS!L31</f>
        <v>0.68916717393632942</v>
      </c>
      <c r="E3" s="2">
        <f>TOPSIS!M31</f>
        <v>1</v>
      </c>
      <c r="F3" s="6">
        <f>МАИ!F175</f>
        <v>0.22992668289762547</v>
      </c>
      <c r="G3" s="2">
        <f>МАИ!G175</f>
        <v>4</v>
      </c>
      <c r="H3" s="2" t="str">
        <f>IF(E3=G3,"да","нет")</f>
        <v>нет</v>
      </c>
    </row>
    <row r="4" spans="1:8" ht="28.5" x14ac:dyDescent="0.25">
      <c r="A4" s="2" t="s">
        <v>19</v>
      </c>
      <c r="B4" s="5">
        <f>TOPSIS!F32</f>
        <v>0.9388387536029964</v>
      </c>
      <c r="C4" s="5">
        <f>TOPSIS!K32</f>
        <v>1.2145616344572803</v>
      </c>
      <c r="D4" s="6">
        <f>TOPSIS!L32</f>
        <v>0.56402034716420002</v>
      </c>
      <c r="E4" s="2">
        <f>TOPSIS!M32</f>
        <v>4</v>
      </c>
      <c r="F4" s="6">
        <f>МАИ!F176</f>
        <v>0.23522224619556711</v>
      </c>
      <c r="G4" s="2">
        <f>МАИ!G176</f>
        <v>3</v>
      </c>
      <c r="H4" s="2" t="str">
        <f>IF(E4=G4,"да","нет")</f>
        <v>нет</v>
      </c>
    </row>
    <row r="5" spans="1:8" x14ac:dyDescent="0.25">
      <c r="A5" s="2" t="s">
        <v>20</v>
      </c>
      <c r="B5" s="5">
        <f>TOPSIS!F33</f>
        <v>0.72951652077654006</v>
      </c>
      <c r="C5" s="5">
        <f>TOPSIS!K33</f>
        <v>1.4070748489597817</v>
      </c>
      <c r="D5" s="6">
        <f>TOPSIS!L33</f>
        <v>0.65856057872845841</v>
      </c>
      <c r="E5" s="2">
        <f>TOPSIS!M33</f>
        <v>3</v>
      </c>
      <c r="F5" s="6">
        <f>МАИ!F177</f>
        <v>0.28208509500815693</v>
      </c>
      <c r="G5" s="2">
        <f>МАИ!G177</f>
        <v>1</v>
      </c>
      <c r="H5" s="2" t="str">
        <f>IF(E5=G5,"да","нет")</f>
        <v>нет</v>
      </c>
    </row>
    <row r="7" spans="1:8" ht="30" x14ac:dyDescent="0.25">
      <c r="A7" s="4" t="s">
        <v>21</v>
      </c>
      <c r="B7" s="13" t="str">
        <f>INDEX(A2:A5,MATCH(1,E2:E5,0))</f>
        <v>B. Умное расписание + аудитории</v>
      </c>
      <c r="C7" s="13"/>
      <c r="D7" s="13"/>
      <c r="E7" s="13"/>
    </row>
    <row r="8" spans="1:8" ht="30" x14ac:dyDescent="0.25">
      <c r="A8" s="4" t="s">
        <v>22</v>
      </c>
      <c r="B8" s="13" t="str">
        <f>INDEX(A2:A5,MATCH(1,G2:G5,0))</f>
        <v>D. Личный кабинет абитуриента</v>
      </c>
      <c r="C8" s="13"/>
      <c r="D8" s="13"/>
      <c r="E8" s="13"/>
    </row>
  </sheetData>
  <mergeCells count="2">
    <mergeCell ref="B7:E7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Команда</vt:lpstr>
      <vt:lpstr>Оценки_Критерии</vt:lpstr>
      <vt:lpstr>Критерии_agg</vt:lpstr>
      <vt:lpstr>Оценки_Альтернативы</vt:lpstr>
      <vt:lpstr>TOPSIS</vt:lpstr>
      <vt:lpstr>МАИ</vt:lpstr>
      <vt:lpstr>Итоги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Андрей Ример</cp:lastModifiedBy>
  <cp:revision>0</cp:revision>
  <dcterms:created xsi:type="dcterms:W3CDTF">2026-10-13T14:40:12Z</dcterms:created>
  <dcterms:modified xsi:type="dcterms:W3CDTF">2026-10-13T15:38:14Z</dcterms:modified>
  <dc:language>en-US</dc:language>
</cp:coreProperties>
</file>